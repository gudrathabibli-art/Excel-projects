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9.xml" ContentType="application/vnd.openxmlformats-officedocument.spreadsheetml.pivotTable+xml"/>
  <Override PartName="/xl/pivotTables/pivotTable10.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Qudret\Downloads\"/>
    </mc:Choice>
  </mc:AlternateContent>
  <xr:revisionPtr revIDLastSave="0" documentId="13_ncr:9_{0F418B04-42D9-4374-BDFB-E732BCC04D3C}" xr6:coauthVersionLast="47" xr6:coauthVersionMax="47" xr10:uidLastSave="{00000000-0000-0000-0000-000000000000}"/>
  <bookViews>
    <workbookView xWindow="-120" yWindow="-120" windowWidth="20730" windowHeight="11040" firstSheet="5" activeTab="9" xr2:uid="{5CB30140-835A-4E8E-96BE-2492C80273B3}"/>
  </bookViews>
  <sheets>
    <sheet name="1" sheetId="2" r:id="rId1"/>
    <sheet name="2" sheetId="3" r:id="rId2"/>
    <sheet name="3" sheetId="4" r:id="rId3"/>
    <sheet name="4" sheetId="5" r:id="rId4"/>
    <sheet name="5" sheetId="7" r:id="rId5"/>
    <sheet name="6" sheetId="9" r:id="rId6"/>
    <sheet name="7" sheetId="10" r:id="rId7"/>
    <sheet name="8" sheetId="11" r:id="rId8"/>
    <sheet name="9" sheetId="12" r:id="rId9"/>
    <sheet name="10" sheetId="13" r:id="rId10"/>
    <sheet name="PivotTable_Practice_Data" sheetId="1" r:id="rId11"/>
  </sheets>
  <definedNames>
    <definedName name="_xlnm._FilterDatabase" localSheetId="10" hidden="1">PivotTable_Practice_Data!$A$1:$G$201</definedName>
    <definedName name="Slicer_Region">#N/A</definedName>
  </definedNames>
  <calcPr calcId="0"/>
  <pivotCaches>
    <pivotCache cacheId="27" r:id="rId12"/>
  </pivotCaches>
  <extLst>
    <ext xmlns:x14="http://schemas.microsoft.com/office/spreadsheetml/2009/9/main" uri="{BBE1A952-AA13-448e-AADC-164F8A28A991}">
      <x14:slicerCaches>
        <x14:slicerCache r:id="rId13"/>
      </x14:slicerCaches>
    </ext>
    <ext xmlns:x14="http://schemas.microsoft.com/office/spreadsheetml/2009/9/main" uri="{79F54976-1DA5-4618-B147-4CDE4B953A38}">
      <x14:workbookPr/>
    </ext>
  </extLst>
</workbook>
</file>

<file path=xl/calcChain.xml><?xml version="1.0" encoding="utf-8"?>
<calcChain xmlns="http://schemas.openxmlformats.org/spreadsheetml/2006/main">
  <c r="D5" i="10" l="1"/>
  <c r="D6" i="10"/>
  <c r="D7" i="10"/>
  <c r="D8" i="10"/>
  <c r="D4" i="10"/>
  <c r="K3" i="1"/>
  <c r="K4" i="1"/>
  <c r="K5" i="1"/>
  <c r="K6" i="1"/>
  <c r="K2" i="1"/>
  <c r="J3" i="1"/>
  <c r="J4" i="1"/>
  <c r="J5" i="1"/>
  <c r="J6" i="1"/>
  <c r="J2" i="1"/>
  <c r="C4" i="7"/>
  <c r="L6" i="1" l="1"/>
  <c r="L3" i="1"/>
  <c r="L2" i="1"/>
  <c r="L5" i="1"/>
  <c r="L4" i="1"/>
</calcChain>
</file>

<file path=xl/sharedStrings.xml><?xml version="1.0" encoding="utf-8"?>
<sst xmlns="http://schemas.openxmlformats.org/spreadsheetml/2006/main" count="724" uniqueCount="29">
  <si>
    <t>Date</t>
  </si>
  <si>
    <t>Department</t>
  </si>
  <si>
    <t>Region</t>
  </si>
  <si>
    <t>Product</t>
  </si>
  <si>
    <t>Units Sold</t>
  </si>
  <si>
    <t>Unit Price</t>
  </si>
  <si>
    <t>Total Sales</t>
  </si>
  <si>
    <t>Marketing</t>
  </si>
  <si>
    <t>West</t>
  </si>
  <si>
    <t>Keyboard</t>
  </si>
  <si>
    <t>Finance</t>
  </si>
  <si>
    <t>East</t>
  </si>
  <si>
    <t>Mouse</t>
  </si>
  <si>
    <t>Sales</t>
  </si>
  <si>
    <t>Laptop</t>
  </si>
  <si>
    <t>IT</t>
  </si>
  <si>
    <t>South</t>
  </si>
  <si>
    <t>Monitor</t>
  </si>
  <si>
    <t>North</t>
  </si>
  <si>
    <t>Headset</t>
  </si>
  <si>
    <t>HR</t>
  </si>
  <si>
    <t>Row Labels</t>
  </si>
  <si>
    <t>Grand Total</t>
  </si>
  <si>
    <t>Sum of Total Sales</t>
  </si>
  <si>
    <t>Max. of Total Sales</t>
  </si>
  <si>
    <t>Min. of Total Sales</t>
  </si>
  <si>
    <t xml:space="preserve"> </t>
  </si>
  <si>
    <t>Count of Department</t>
  </si>
  <si>
    <t>Average of Total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</si>
</sst>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theme="1"/>
      <name val="Aptos Narrow"/>
      <family val="2"/>
      <charset val="186"/>
      <scheme val="minor"/>
    </font>
    <font>
      <sz val="11"/>
      <color theme="1"/>
      <name val="Aptos Narrow"/>
      <family val="2"/>
      <charset val="186"/>
      <scheme val="minor"/>
    </font>
    <font>
      <sz val="18"/>
      <color theme="3"/>
      <name val="Aptos Display"/>
      <family val="2"/>
      <charset val="186"/>
      <scheme val="major"/>
    </font>
    <font>
      <b/>
      <sz val="15"/>
      <color theme="3"/>
      <name val="Aptos Narrow"/>
      <family val="2"/>
      <charset val="186"/>
      <scheme val="minor"/>
    </font>
    <font>
      <b/>
      <sz val="13"/>
      <color theme="3"/>
      <name val="Aptos Narrow"/>
      <family val="2"/>
      <charset val="186"/>
      <scheme val="minor"/>
    </font>
    <font>
      <b/>
      <sz val="11"/>
      <color theme="3"/>
      <name val="Aptos Narrow"/>
      <family val="2"/>
      <charset val="186"/>
      <scheme val="minor"/>
    </font>
    <font>
      <sz val="11"/>
      <color rgb="FF006100"/>
      <name val="Aptos Narrow"/>
      <family val="2"/>
      <charset val="186"/>
      <scheme val="minor"/>
    </font>
    <font>
      <sz val="11"/>
      <color rgb="FF9C0006"/>
      <name val="Aptos Narrow"/>
      <family val="2"/>
      <charset val="186"/>
      <scheme val="minor"/>
    </font>
    <font>
      <sz val="11"/>
      <color rgb="FF9C5700"/>
      <name val="Aptos Narrow"/>
      <family val="2"/>
      <charset val="186"/>
      <scheme val="minor"/>
    </font>
    <font>
      <sz val="11"/>
      <color rgb="FF3F3F76"/>
      <name val="Aptos Narrow"/>
      <family val="2"/>
      <charset val="186"/>
      <scheme val="minor"/>
    </font>
    <font>
      <b/>
      <sz val="11"/>
      <color rgb="FF3F3F3F"/>
      <name val="Aptos Narrow"/>
      <family val="2"/>
      <charset val="186"/>
      <scheme val="minor"/>
    </font>
    <font>
      <b/>
      <sz val="11"/>
      <color rgb="FFFA7D00"/>
      <name val="Aptos Narrow"/>
      <family val="2"/>
      <charset val="186"/>
      <scheme val="minor"/>
    </font>
    <font>
      <sz val="11"/>
      <color rgb="FFFA7D00"/>
      <name val="Aptos Narrow"/>
      <family val="2"/>
      <charset val="186"/>
      <scheme val="minor"/>
    </font>
    <font>
      <b/>
      <sz val="11"/>
      <color theme="0"/>
      <name val="Aptos Narrow"/>
      <family val="2"/>
      <charset val="186"/>
      <scheme val="minor"/>
    </font>
    <font>
      <sz val="11"/>
      <color rgb="FFFF0000"/>
      <name val="Aptos Narrow"/>
      <family val="2"/>
      <charset val="186"/>
      <scheme val="minor"/>
    </font>
    <font>
      <i/>
      <sz val="11"/>
      <color rgb="FF7F7F7F"/>
      <name val="Aptos Narrow"/>
      <family val="2"/>
      <charset val="186"/>
      <scheme val="minor"/>
    </font>
    <font>
      <b/>
      <sz val="11"/>
      <color theme="1"/>
      <name val="Aptos Narrow"/>
      <family val="2"/>
      <charset val="186"/>
      <scheme val="minor"/>
    </font>
    <font>
      <sz val="11"/>
      <color theme="0"/>
      <name val="Aptos Narrow"/>
      <family val="2"/>
      <charset val="186"/>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33" borderId="0" xfId="0" applyFill="1" applyAlignment="1">
      <alignment horizontal="left"/>
    </xf>
    <xf numFmtId="0" fontId="0" fillId="0" borderId="0" xfId="0" applyAlignment="1">
      <alignment horizontal="left" indent="1"/>
    </xf>
    <xf numFmtId="1" fontId="0" fillId="0" borderId="0" xfId="0" applyNumberFormat="1"/>
    <xf numFmtId="164" fontId="0" fillId="0" borderId="0" xfId="0" applyNumberFormat="1"/>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fill>
        <patternFill patternType="solid">
          <bgColor rgb="FFFFFF00"/>
        </patternFill>
      </fill>
    </dxf>
    <dxf>
      <fill>
        <patternFill patternType="solid">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editAs="oneCell">
    <xdr:from>
      <xdr:col>4</xdr:col>
      <xdr:colOff>219075</xdr:colOff>
      <xdr:row>1</xdr:row>
      <xdr:rowOff>152400</xdr:rowOff>
    </xdr:from>
    <xdr:to>
      <xdr:col>7</xdr:col>
      <xdr:colOff>219075</xdr:colOff>
      <xdr:row>15</xdr:row>
      <xdr:rowOff>152400</xdr:rowOff>
    </xdr:to>
    <mc:AlternateContent xmlns:mc="http://schemas.openxmlformats.org/markup-compatibility/2006">
      <mc:Choice xmlns:a14="http://schemas.microsoft.com/office/drawing/2010/main" Requires="a14">
        <xdr:graphicFrame macro="">
          <xdr:nvGraphicFramePr>
            <xdr:cNvPr id="2" name="Region">
              <a:extLst>
                <a:ext uri="{FF2B5EF4-FFF2-40B4-BE49-F238E27FC236}">
                  <a16:creationId xmlns:a16="http://schemas.microsoft.com/office/drawing/2014/main" id="{7901734A-8935-9FD8-7207-F309E35D393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3514725" y="34290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Qudret" refreshedDate="46188.704071990738" createdVersion="8" refreshedVersion="8" minRefreshableVersion="3" recordCount="200" xr:uid="{DDC78EEC-AC3E-480D-9CEF-7F8860AE9B2E}">
  <cacheSource type="worksheet">
    <worksheetSource ref="A1:G201" sheet="PivotTable_Practice_Data"/>
  </cacheSource>
  <cacheFields count="9">
    <cacheField name="Date" numFmtId="14">
      <sharedItems containsSemiMixedTypes="0" containsNonDate="0" containsDate="1" containsString="0" minDate="2024-01-01T00:00:00" maxDate="2024-03-31T00:00:00" count="78">
        <d v="2024-02-21T00:00:00"/>
        <d v="2024-01-15T00:00:00"/>
        <d v="2024-03-12T00:00:00"/>
        <d v="2024-03-01T00:00:00"/>
        <d v="2024-01-21T00:00:00"/>
        <d v="2024-03-23T00:00:00"/>
        <d v="2024-03-27T00:00:00"/>
        <d v="2024-03-15T00:00:00"/>
        <d v="2024-03-28T00:00:00"/>
        <d v="2024-01-24T00:00:00"/>
        <d v="2024-01-03T00:00:00"/>
        <d v="2024-01-22T00:00:00"/>
        <d v="2024-02-22T00:00:00"/>
        <d v="2024-01-02T00:00:00"/>
        <d v="2024-01-30T00:00:00"/>
        <d v="2024-02-07T00:00:00"/>
        <d v="2024-03-04T00:00:00"/>
        <d v="2024-02-29T00:00:00"/>
        <d v="2024-02-02T00:00:00"/>
        <d v="2024-03-16T00:00:00"/>
        <d v="2024-02-27T00:00:00"/>
        <d v="2024-03-29T00:00:00"/>
        <d v="2024-02-18T00:00:00"/>
        <d v="2024-02-28T00:00:00"/>
        <d v="2024-02-11T00:00:00"/>
        <d v="2024-03-20T00:00:00"/>
        <d v="2024-03-02T00:00:00"/>
        <d v="2024-02-16T00:00:00"/>
        <d v="2024-02-20T00:00:00"/>
        <d v="2024-02-24T00:00:00"/>
        <d v="2024-01-07T00:00:00"/>
        <d v="2024-03-13T00:00:00"/>
        <d v="2024-02-08T00:00:00"/>
        <d v="2024-01-18T00:00:00"/>
        <d v="2024-01-04T00:00:00"/>
        <d v="2024-01-14T00:00:00"/>
        <d v="2024-01-09T00:00:00"/>
        <d v="2024-03-30T00:00:00"/>
        <d v="2024-03-24T00:00:00"/>
        <d v="2024-03-11T00:00:00"/>
        <d v="2024-02-13T00:00:00"/>
        <d v="2024-01-08T00:00:00"/>
        <d v="2024-02-04T00:00:00"/>
        <d v="2024-03-18T00:00:00"/>
        <d v="2024-03-21T00:00:00"/>
        <d v="2024-02-05T00:00:00"/>
        <d v="2024-02-19T00:00:00"/>
        <d v="2024-01-06T00:00:00"/>
        <d v="2024-02-23T00:00:00"/>
        <d v="2024-03-03T00:00:00"/>
        <d v="2024-02-03T00:00:00"/>
        <d v="2024-03-14T00:00:00"/>
        <d v="2024-02-17T00:00:00"/>
        <d v="2024-02-09T00:00:00"/>
        <d v="2024-03-25T00:00:00"/>
        <d v="2024-03-22T00:00:00"/>
        <d v="2024-01-26T00:00:00"/>
        <d v="2024-02-10T00:00:00"/>
        <d v="2024-01-29T00:00:00"/>
        <d v="2024-02-14T00:00:00"/>
        <d v="2024-03-05T00:00:00"/>
        <d v="2024-01-01T00:00:00"/>
        <d v="2024-01-11T00:00:00"/>
        <d v="2024-01-05T00:00:00"/>
        <d v="2024-01-28T00:00:00"/>
        <d v="2024-01-12T00:00:00"/>
        <d v="2024-01-23T00:00:00"/>
        <d v="2024-02-06T00:00:00"/>
        <d v="2024-03-26T00:00:00"/>
        <d v="2024-01-27T00:00:00"/>
        <d v="2024-03-19T00:00:00"/>
        <d v="2024-03-17T00:00:00"/>
        <d v="2024-02-12T00:00:00"/>
        <d v="2024-01-13T00:00:00"/>
        <d v="2024-02-01T00:00:00"/>
        <d v="2024-03-06T00:00:00"/>
        <d v="2024-02-26T00:00:00"/>
        <d v="2024-03-10T00:00:00"/>
      </sharedItems>
      <fieldGroup par="8"/>
    </cacheField>
    <cacheField name="Department" numFmtId="0">
      <sharedItems count="5">
        <s v="Marketing"/>
        <s v="Finance"/>
        <s v="Sales"/>
        <s v="IT"/>
        <s v="HR"/>
      </sharedItems>
    </cacheField>
    <cacheField name="Region" numFmtId="0">
      <sharedItems count="4">
        <s v="West"/>
        <s v="East"/>
        <s v="South"/>
        <s v="North"/>
      </sharedItems>
    </cacheField>
    <cacheField name="Product" numFmtId="0">
      <sharedItems/>
    </cacheField>
    <cacheField name="Units Sold" numFmtId="0">
      <sharedItems containsSemiMixedTypes="0" containsString="0" containsNumber="1" containsInteger="1" minValue="1" maxValue="19"/>
    </cacheField>
    <cacheField name="Unit Price" numFmtId="0">
      <sharedItems containsSemiMixedTypes="0" containsString="0" containsNumber="1" minValue="52.08" maxValue="498.59"/>
    </cacheField>
    <cacheField name="Total Sales" numFmtId="0">
      <sharedItems containsSemiMixedTypes="0" containsString="0" containsNumber="1" minValue="123.88" maxValue="9039.25"/>
    </cacheField>
    <cacheField name="Days (Date)" numFmtId="0" databaseField="0">
      <fieldGroup base="0">
        <rangePr groupBy="days" startDate="2024-01-01T00:00:00" endDate="2024-03-31T00:00:00"/>
        <groupItems count="368">
          <s v="&lt;01.01.2024"/>
          <s v="01.yan"/>
          <s v="02.yan"/>
          <s v="03.yan"/>
          <s v="04.yan"/>
          <s v="05.yan"/>
          <s v="06.yan"/>
          <s v="07.yan"/>
          <s v="08.yan"/>
          <s v="09.yan"/>
          <s v="10.yan"/>
          <s v="11.yan"/>
          <s v="12.yan"/>
          <s v="13.yan"/>
          <s v="14.yan"/>
          <s v="15.yan"/>
          <s v="16.yan"/>
          <s v="17.yan"/>
          <s v="18.yan"/>
          <s v="19.yan"/>
          <s v="20.yan"/>
          <s v="21.yan"/>
          <s v="22.yan"/>
          <s v="23.yan"/>
          <s v="24.yan"/>
          <s v="25.yan"/>
          <s v="26.yan"/>
          <s v="27.yan"/>
          <s v="28.yan"/>
          <s v="29.yan"/>
          <s v="30.yan"/>
          <s v="31.yan"/>
          <s v="01.fev"/>
          <s v="02.fev"/>
          <s v="03.fev"/>
          <s v="04.fev"/>
          <s v="05.fev"/>
          <s v="06.fev"/>
          <s v="07.fev"/>
          <s v="08.fev"/>
          <s v="09.fev"/>
          <s v="10.fev"/>
          <s v="11.fev"/>
          <s v="12.fev"/>
          <s v="13.fev"/>
          <s v="14.fev"/>
          <s v="15.fev"/>
          <s v="16.fev"/>
          <s v="17.fev"/>
          <s v="18.fev"/>
          <s v="19.fev"/>
          <s v="20.fev"/>
          <s v="21.fev"/>
          <s v="22.fev"/>
          <s v="23.fev"/>
          <s v="24.fev"/>
          <s v="25.fev"/>
          <s v="26.fev"/>
          <s v="27.fev"/>
          <s v="28.fev"/>
          <s v="29.fev"/>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iyn"/>
          <s v="02.iyn"/>
          <s v="03.iyn"/>
          <s v="04.iyn"/>
          <s v="05.iyn"/>
          <s v="06.iyn"/>
          <s v="07.iyn"/>
          <s v="08.iyn"/>
          <s v="09.iyn"/>
          <s v="10.iyn"/>
          <s v="11.iyn"/>
          <s v="12.iyn"/>
          <s v="13.iyn"/>
          <s v="14.iyn"/>
          <s v="15.iyn"/>
          <s v="16.iyn"/>
          <s v="17.iyn"/>
          <s v="18.iyn"/>
          <s v="19.iyn"/>
          <s v="20.iyn"/>
          <s v="21.iyn"/>
          <s v="22.iyn"/>
          <s v="23.iyn"/>
          <s v="24.iyn"/>
          <s v="25.iyn"/>
          <s v="26.iyn"/>
          <s v="27.iyn"/>
          <s v="28.iyn"/>
          <s v="29.iyn"/>
          <s v="30.iyn"/>
          <s v="01.iyl"/>
          <s v="02.iyl"/>
          <s v="03.iyl"/>
          <s v="04.iyl"/>
          <s v="05.iyl"/>
          <s v="06.iyl"/>
          <s v="07.iyl"/>
          <s v="08.iyl"/>
          <s v="09.iyl"/>
          <s v="10.iyl"/>
          <s v="11.iyl"/>
          <s v="12.iyl"/>
          <s v="13.iyl"/>
          <s v="14.iyl"/>
          <s v="15.iyl"/>
          <s v="16.iyl"/>
          <s v="17.iyl"/>
          <s v="18.iyl"/>
          <s v="19.iyl"/>
          <s v="20.iyl"/>
          <s v="21.iyl"/>
          <s v="22.iyl"/>
          <s v="23.iyl"/>
          <s v="24.iyl"/>
          <s v="25.iyl"/>
          <s v="26.iyl"/>
          <s v="27.iyl"/>
          <s v="28.iyl"/>
          <s v="29.iyl"/>
          <s v="30.iyl"/>
          <s v="31.iyl"/>
          <s v="01.avq"/>
          <s v="02.avq"/>
          <s v="03.avq"/>
          <s v="04.avq"/>
          <s v="05.avq"/>
          <s v="06.avq"/>
          <s v="07.avq"/>
          <s v="08.avq"/>
          <s v="09.avq"/>
          <s v="10.avq"/>
          <s v="11.avq"/>
          <s v="12.avq"/>
          <s v="13.avq"/>
          <s v="14.avq"/>
          <s v="15.avq"/>
          <s v="16.avq"/>
          <s v="17.avq"/>
          <s v="18.avq"/>
          <s v="19.avq"/>
          <s v="20.avq"/>
          <s v="21.avq"/>
          <s v="22.avq"/>
          <s v="23.avq"/>
          <s v="24.avq"/>
          <s v="25.avq"/>
          <s v="26.avq"/>
          <s v="27.avq"/>
          <s v="28.avq"/>
          <s v="29.avq"/>
          <s v="30.avq"/>
          <s v="31.avq"/>
          <s v="01.sen"/>
          <s v="02.sen"/>
          <s v="03.sen"/>
          <s v="04.sen"/>
          <s v="05.sen"/>
          <s v="06.sen"/>
          <s v="07.sen"/>
          <s v="08.sen"/>
          <s v="09.sen"/>
          <s v="10.sen"/>
          <s v="11.sen"/>
          <s v="12.sen"/>
          <s v="13.sen"/>
          <s v="14.sen"/>
          <s v="15.sen"/>
          <s v="16.sen"/>
          <s v="17.sen"/>
          <s v="18.sen"/>
          <s v="19.sen"/>
          <s v="20.sen"/>
          <s v="21.sen"/>
          <s v="22.sen"/>
          <s v="23.sen"/>
          <s v="24.sen"/>
          <s v="25.sen"/>
          <s v="26.sen"/>
          <s v="27.sen"/>
          <s v="28.sen"/>
          <s v="29.sen"/>
          <s v="30.sen"/>
          <s v="01.okt"/>
          <s v="02.okt"/>
          <s v="03.okt"/>
          <s v="04.okt"/>
          <s v="05.okt"/>
          <s v="06.okt"/>
          <s v="07.okt"/>
          <s v="08.okt"/>
          <s v="09.okt"/>
          <s v="10.okt"/>
          <s v="11.okt"/>
          <s v="12.okt"/>
          <s v="13.okt"/>
          <s v="14.okt"/>
          <s v="15.okt"/>
          <s v="16.okt"/>
          <s v="17.okt"/>
          <s v="18.okt"/>
          <s v="19.okt"/>
          <s v="20.okt"/>
          <s v="21.okt"/>
          <s v="22.okt"/>
          <s v="23.okt"/>
          <s v="24.okt"/>
          <s v="25.okt"/>
          <s v="26.okt"/>
          <s v="27.okt"/>
          <s v="28.okt"/>
          <s v="29.okt"/>
          <s v="30.okt"/>
          <s v="31.okt"/>
          <s v="01.noy"/>
          <s v="02.noy"/>
          <s v="03.noy"/>
          <s v="04.noy"/>
          <s v="05.noy"/>
          <s v="06.noy"/>
          <s v="07.noy"/>
          <s v="08.noy"/>
          <s v="09.noy"/>
          <s v="10.noy"/>
          <s v="11.noy"/>
          <s v="12.noy"/>
          <s v="13.noy"/>
          <s v="14.noy"/>
          <s v="15.noy"/>
          <s v="16.noy"/>
          <s v="17.noy"/>
          <s v="18.noy"/>
          <s v="19.noy"/>
          <s v="20.noy"/>
          <s v="21.noy"/>
          <s v="22.noy"/>
          <s v="23.noy"/>
          <s v="24.noy"/>
          <s v="25.noy"/>
          <s v="26.noy"/>
          <s v="27.noy"/>
          <s v="28.noy"/>
          <s v="29.noy"/>
          <s v="30.noy"/>
          <s v="01.dek"/>
          <s v="02.dek"/>
          <s v="03.dek"/>
          <s v="04.dek"/>
          <s v="05.dek"/>
          <s v="06.dek"/>
          <s v="07.dek"/>
          <s v="08.dek"/>
          <s v="09.dek"/>
          <s v="10.dek"/>
          <s v="11.dek"/>
          <s v="12.dek"/>
          <s v="13.dek"/>
          <s v="14.dek"/>
          <s v="15.dek"/>
          <s v="16.dek"/>
          <s v="17.dek"/>
          <s v="18.dek"/>
          <s v="19.dek"/>
          <s v="20.dek"/>
          <s v="21.dek"/>
          <s v="22.dek"/>
          <s v="23.dek"/>
          <s v="24.dek"/>
          <s v="25.dek"/>
          <s v="26.dek"/>
          <s v="27.dek"/>
          <s v="28.dek"/>
          <s v="29.dek"/>
          <s v="30.dek"/>
          <s v="31.dek"/>
          <s v="&gt;31.03.2024"/>
        </groupItems>
      </fieldGroup>
    </cacheField>
    <cacheField name="Months (Date)" numFmtId="0" databaseField="0">
      <fieldGroup base="0">
        <rangePr groupBy="months" startDate="2024-01-01T00:00:00" endDate="2024-03-31T00:00:00"/>
        <groupItems count="14">
          <s v="&lt;01.01.2024"/>
          <s v="yan"/>
          <s v="fev"/>
          <s v="mar"/>
          <s v="apr"/>
          <s v="may"/>
          <s v="iyn"/>
          <s v="iyl"/>
          <s v="avq"/>
          <s v="sen"/>
          <s v="okt"/>
          <s v="noy"/>
          <s v="dek"/>
          <s v="&gt;31.03.2024"/>
        </groupItems>
      </fieldGroup>
    </cacheField>
  </cacheFields>
  <extLst>
    <ext xmlns:x14="http://schemas.microsoft.com/office/spreadsheetml/2009/9/main" uri="{725AE2AE-9491-48be-B2B4-4EB974FC3084}">
      <x14:pivotCacheDefinition pivotCacheId="159828492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x v="0"/>
    <x v="0"/>
    <x v="0"/>
    <s v="Keyboard"/>
    <n v="16"/>
    <n v="472.25"/>
    <n v="7556"/>
  </r>
  <r>
    <x v="1"/>
    <x v="1"/>
    <x v="1"/>
    <s v="Mouse"/>
    <n v="15"/>
    <n v="131.55000000000001"/>
    <n v="1973.25"/>
  </r>
  <r>
    <x v="2"/>
    <x v="2"/>
    <x v="1"/>
    <s v="Laptop"/>
    <n v="15"/>
    <n v="79.92"/>
    <n v="1198.8"/>
  </r>
  <r>
    <x v="3"/>
    <x v="3"/>
    <x v="0"/>
    <s v="Mouse"/>
    <n v="5"/>
    <n v="383.5"/>
    <n v="1917.5"/>
  </r>
  <r>
    <x v="4"/>
    <x v="2"/>
    <x v="2"/>
    <s v="Mouse"/>
    <n v="14"/>
    <n v="308.51"/>
    <n v="4319.1400000000003"/>
  </r>
  <r>
    <x v="5"/>
    <x v="2"/>
    <x v="1"/>
    <s v="Keyboard"/>
    <n v="2"/>
    <n v="428.82"/>
    <n v="857.64"/>
  </r>
  <r>
    <x v="6"/>
    <x v="1"/>
    <x v="2"/>
    <s v="Monitor"/>
    <n v="11"/>
    <n v="112.9"/>
    <n v="1241.9000000000001"/>
  </r>
  <r>
    <x v="7"/>
    <x v="2"/>
    <x v="3"/>
    <s v="Headset"/>
    <n v="19"/>
    <n v="407.87"/>
    <n v="7749.53"/>
  </r>
  <r>
    <x v="7"/>
    <x v="0"/>
    <x v="2"/>
    <s v="Headset"/>
    <n v="7"/>
    <n v="140.72999999999999"/>
    <n v="985.11"/>
  </r>
  <r>
    <x v="8"/>
    <x v="0"/>
    <x v="3"/>
    <s v="Keyboard"/>
    <n v="6"/>
    <n v="123.65"/>
    <n v="741.9"/>
  </r>
  <r>
    <x v="9"/>
    <x v="4"/>
    <x v="2"/>
    <s v="Mouse"/>
    <n v="2"/>
    <n v="123.92"/>
    <n v="247.84"/>
  </r>
  <r>
    <x v="10"/>
    <x v="3"/>
    <x v="1"/>
    <s v="Laptop"/>
    <n v="6"/>
    <n v="416.56"/>
    <n v="2499.36"/>
  </r>
  <r>
    <x v="11"/>
    <x v="2"/>
    <x v="1"/>
    <s v="Mouse"/>
    <n v="18"/>
    <n v="349.34"/>
    <n v="6288.12"/>
  </r>
  <r>
    <x v="12"/>
    <x v="2"/>
    <x v="3"/>
    <s v="Keyboard"/>
    <n v="2"/>
    <n v="285.38"/>
    <n v="570.76"/>
  </r>
  <r>
    <x v="13"/>
    <x v="1"/>
    <x v="0"/>
    <s v="Headset"/>
    <n v="18"/>
    <n v="211.47"/>
    <n v="3806.46"/>
  </r>
  <r>
    <x v="8"/>
    <x v="0"/>
    <x v="3"/>
    <s v="Mouse"/>
    <n v="15"/>
    <n v="444.74"/>
    <n v="6671.1"/>
  </r>
  <r>
    <x v="14"/>
    <x v="3"/>
    <x v="3"/>
    <s v="Headset"/>
    <n v="19"/>
    <n v="226.6"/>
    <n v="4305.3999999999996"/>
  </r>
  <r>
    <x v="15"/>
    <x v="4"/>
    <x v="2"/>
    <s v="Laptop"/>
    <n v="2"/>
    <n v="417.47"/>
    <n v="834.94"/>
  </r>
  <r>
    <x v="13"/>
    <x v="0"/>
    <x v="2"/>
    <s v="Headset"/>
    <n v="6"/>
    <n v="247.61"/>
    <n v="1485.66"/>
  </r>
  <r>
    <x v="16"/>
    <x v="4"/>
    <x v="3"/>
    <s v="Headset"/>
    <n v="1"/>
    <n v="219.62"/>
    <n v="219.62"/>
  </r>
  <r>
    <x v="17"/>
    <x v="1"/>
    <x v="1"/>
    <s v="Monitor"/>
    <n v="15"/>
    <n v="258.20999999999998"/>
    <n v="3873.15"/>
  </r>
  <r>
    <x v="4"/>
    <x v="1"/>
    <x v="2"/>
    <s v="Monitor"/>
    <n v="10"/>
    <n v="185.62"/>
    <n v="1856.2"/>
  </r>
  <r>
    <x v="18"/>
    <x v="2"/>
    <x v="0"/>
    <s v="Monitor"/>
    <n v="19"/>
    <n v="386.42"/>
    <n v="7341.98"/>
  </r>
  <r>
    <x v="19"/>
    <x v="3"/>
    <x v="2"/>
    <s v="Headset"/>
    <n v="17"/>
    <n v="276.22000000000003"/>
    <n v="4695.74"/>
  </r>
  <r>
    <x v="20"/>
    <x v="4"/>
    <x v="2"/>
    <s v="Keyboard"/>
    <n v="5"/>
    <n v="154.5"/>
    <n v="772.5"/>
  </r>
  <r>
    <x v="11"/>
    <x v="0"/>
    <x v="0"/>
    <s v="Headset"/>
    <n v="4"/>
    <n v="454.81"/>
    <n v="1819.24"/>
  </r>
  <r>
    <x v="21"/>
    <x v="1"/>
    <x v="3"/>
    <s v="Keyboard"/>
    <n v="10"/>
    <n v="222.75"/>
    <n v="2227.5"/>
  </r>
  <r>
    <x v="22"/>
    <x v="2"/>
    <x v="0"/>
    <s v="Keyboard"/>
    <n v="17"/>
    <n v="294.60000000000002"/>
    <n v="5008.2"/>
  </r>
  <r>
    <x v="23"/>
    <x v="2"/>
    <x v="3"/>
    <s v="Monitor"/>
    <n v="10"/>
    <n v="457.91"/>
    <n v="4579.1000000000004"/>
  </r>
  <r>
    <x v="24"/>
    <x v="4"/>
    <x v="3"/>
    <s v="Mouse"/>
    <n v="17"/>
    <n v="330.91"/>
    <n v="5625.47"/>
  </r>
  <r>
    <x v="17"/>
    <x v="1"/>
    <x v="3"/>
    <s v="Laptop"/>
    <n v="5"/>
    <n v="102.6"/>
    <n v="513"/>
  </r>
  <r>
    <x v="25"/>
    <x v="3"/>
    <x v="0"/>
    <s v="Monitor"/>
    <n v="2"/>
    <n v="472.92"/>
    <n v="945.84"/>
  </r>
  <r>
    <x v="1"/>
    <x v="1"/>
    <x v="3"/>
    <s v="Monitor"/>
    <n v="6"/>
    <n v="332.47"/>
    <n v="1994.82"/>
  </r>
  <r>
    <x v="26"/>
    <x v="4"/>
    <x v="1"/>
    <s v="Mouse"/>
    <n v="2"/>
    <n v="200.71"/>
    <n v="401.42"/>
  </r>
  <r>
    <x v="26"/>
    <x v="4"/>
    <x v="0"/>
    <s v="Laptop"/>
    <n v="13"/>
    <n v="112.67"/>
    <n v="1464.71"/>
  </r>
  <r>
    <x v="27"/>
    <x v="1"/>
    <x v="1"/>
    <s v="Headset"/>
    <n v="11"/>
    <n v="407.31"/>
    <n v="4480.41"/>
  </r>
  <r>
    <x v="26"/>
    <x v="4"/>
    <x v="3"/>
    <s v="Headset"/>
    <n v="11"/>
    <n v="329.03"/>
    <n v="3619.33"/>
  </r>
  <r>
    <x v="28"/>
    <x v="1"/>
    <x v="2"/>
    <s v="Monitor"/>
    <n v="16"/>
    <n v="290.06"/>
    <n v="4640.96"/>
  </r>
  <r>
    <x v="29"/>
    <x v="0"/>
    <x v="3"/>
    <s v="Laptop"/>
    <n v="11"/>
    <n v="452.25"/>
    <n v="4974.75"/>
  </r>
  <r>
    <x v="16"/>
    <x v="1"/>
    <x v="1"/>
    <s v="Monitor"/>
    <n v="19"/>
    <n v="404.87"/>
    <n v="7692.53"/>
  </r>
  <r>
    <x v="10"/>
    <x v="1"/>
    <x v="1"/>
    <s v="Keyboard"/>
    <n v="15"/>
    <n v="118.25"/>
    <n v="1773.75"/>
  </r>
  <r>
    <x v="28"/>
    <x v="4"/>
    <x v="0"/>
    <s v="Monitor"/>
    <n v="16"/>
    <n v="190.27"/>
    <n v="3044.32"/>
  </r>
  <r>
    <x v="30"/>
    <x v="4"/>
    <x v="2"/>
    <s v="Monitor"/>
    <n v="11"/>
    <n v="161.82"/>
    <n v="1780.02"/>
  </r>
  <r>
    <x v="4"/>
    <x v="2"/>
    <x v="0"/>
    <s v="Headset"/>
    <n v="16"/>
    <n v="384.78"/>
    <n v="6156.48"/>
  </r>
  <r>
    <x v="31"/>
    <x v="2"/>
    <x v="1"/>
    <s v="Headset"/>
    <n v="8"/>
    <n v="65.09"/>
    <n v="520.72"/>
  </r>
  <r>
    <x v="32"/>
    <x v="0"/>
    <x v="3"/>
    <s v="Headset"/>
    <n v="4"/>
    <n v="306.45"/>
    <n v="1225.8"/>
  </r>
  <r>
    <x v="33"/>
    <x v="2"/>
    <x v="2"/>
    <s v="Keyboard"/>
    <n v="8"/>
    <n v="393.11"/>
    <n v="3144.88"/>
  </r>
  <r>
    <x v="34"/>
    <x v="1"/>
    <x v="3"/>
    <s v="Headset"/>
    <n v="4"/>
    <n v="444.54"/>
    <n v="1778.16"/>
  </r>
  <r>
    <x v="21"/>
    <x v="4"/>
    <x v="3"/>
    <s v="Laptop"/>
    <n v="3"/>
    <n v="203.94"/>
    <n v="611.82000000000005"/>
  </r>
  <r>
    <x v="17"/>
    <x v="2"/>
    <x v="2"/>
    <s v="Mouse"/>
    <n v="3"/>
    <n v="419.57"/>
    <n v="1258.71"/>
  </r>
  <r>
    <x v="35"/>
    <x v="2"/>
    <x v="0"/>
    <s v="Laptop"/>
    <n v="18"/>
    <n v="99.78"/>
    <n v="1796.04"/>
  </r>
  <r>
    <x v="36"/>
    <x v="0"/>
    <x v="3"/>
    <s v="Laptop"/>
    <n v="19"/>
    <n v="430.9"/>
    <n v="8187.1"/>
  </r>
  <r>
    <x v="37"/>
    <x v="0"/>
    <x v="1"/>
    <s v="Headset"/>
    <n v="19"/>
    <n v="107.37"/>
    <n v="2040.03"/>
  </r>
  <r>
    <x v="12"/>
    <x v="1"/>
    <x v="3"/>
    <s v="Mouse"/>
    <n v="5"/>
    <n v="228.78"/>
    <n v="1143.9000000000001"/>
  </r>
  <r>
    <x v="13"/>
    <x v="4"/>
    <x v="2"/>
    <s v="Mouse"/>
    <n v="18"/>
    <n v="408.78"/>
    <n v="7358.04"/>
  </r>
  <r>
    <x v="38"/>
    <x v="0"/>
    <x v="2"/>
    <s v="Mouse"/>
    <n v="10"/>
    <n v="117.46"/>
    <n v="1174.5999999999999"/>
  </r>
  <r>
    <x v="17"/>
    <x v="2"/>
    <x v="2"/>
    <s v="Keyboard"/>
    <n v="6"/>
    <n v="153.16"/>
    <n v="918.96"/>
  </r>
  <r>
    <x v="39"/>
    <x v="4"/>
    <x v="0"/>
    <s v="Headset"/>
    <n v="1"/>
    <n v="375.01"/>
    <n v="375.01"/>
  </r>
  <r>
    <x v="40"/>
    <x v="4"/>
    <x v="3"/>
    <s v="Mouse"/>
    <n v="5"/>
    <n v="374.02"/>
    <n v="1870.1"/>
  </r>
  <r>
    <x v="41"/>
    <x v="2"/>
    <x v="0"/>
    <s v="Keyboard"/>
    <n v="9"/>
    <n v="338.52"/>
    <n v="3046.68"/>
  </r>
  <r>
    <x v="27"/>
    <x v="0"/>
    <x v="0"/>
    <s v="Monitor"/>
    <n v="12"/>
    <n v="362.28"/>
    <n v="4347.3599999999997"/>
  </r>
  <r>
    <x v="42"/>
    <x v="2"/>
    <x v="2"/>
    <s v="Monitor"/>
    <n v="14"/>
    <n v="294.23"/>
    <n v="4119.22"/>
  </r>
  <r>
    <x v="43"/>
    <x v="4"/>
    <x v="2"/>
    <s v="Keyboard"/>
    <n v="2"/>
    <n v="163.31"/>
    <n v="326.62"/>
  </r>
  <r>
    <x v="44"/>
    <x v="3"/>
    <x v="0"/>
    <s v="Keyboard"/>
    <n v="17"/>
    <n v="205.56"/>
    <n v="3494.52"/>
  </r>
  <r>
    <x v="45"/>
    <x v="3"/>
    <x v="3"/>
    <s v="Headset"/>
    <n v="14"/>
    <n v="131.72"/>
    <n v="1844.08"/>
  </r>
  <r>
    <x v="46"/>
    <x v="1"/>
    <x v="1"/>
    <s v="Headset"/>
    <n v="13"/>
    <n v="458.8"/>
    <n v="5964.4"/>
  </r>
  <r>
    <x v="34"/>
    <x v="2"/>
    <x v="0"/>
    <s v="Monitor"/>
    <n v="9"/>
    <n v="312.52999999999997"/>
    <n v="2812.77"/>
  </r>
  <r>
    <x v="13"/>
    <x v="2"/>
    <x v="3"/>
    <s v="Mouse"/>
    <n v="15"/>
    <n v="230.38"/>
    <n v="3455.7"/>
  </r>
  <r>
    <x v="47"/>
    <x v="1"/>
    <x v="2"/>
    <s v="Monitor"/>
    <n v="15"/>
    <n v="257.89999999999998"/>
    <n v="3868.5"/>
  </r>
  <r>
    <x v="48"/>
    <x v="1"/>
    <x v="2"/>
    <s v="Mouse"/>
    <n v="11"/>
    <n v="476.28"/>
    <n v="5239.08"/>
  </r>
  <r>
    <x v="34"/>
    <x v="1"/>
    <x v="3"/>
    <s v="Mouse"/>
    <n v="16"/>
    <n v="119.01"/>
    <n v="1904.16"/>
  </r>
  <r>
    <x v="48"/>
    <x v="4"/>
    <x v="1"/>
    <s v="Headset"/>
    <n v="17"/>
    <n v="313.8"/>
    <n v="5334.6"/>
  </r>
  <r>
    <x v="49"/>
    <x v="2"/>
    <x v="2"/>
    <s v="Laptop"/>
    <n v="4"/>
    <n v="277.64999999999998"/>
    <n v="1110.5999999999999"/>
  </r>
  <r>
    <x v="33"/>
    <x v="4"/>
    <x v="2"/>
    <s v="Laptop"/>
    <n v="1"/>
    <n v="325.14999999999998"/>
    <n v="325.14999999999998"/>
  </r>
  <r>
    <x v="37"/>
    <x v="1"/>
    <x v="2"/>
    <s v="Keyboard"/>
    <n v="8"/>
    <n v="58.15"/>
    <n v="465.2"/>
  </r>
  <r>
    <x v="40"/>
    <x v="2"/>
    <x v="3"/>
    <s v="Headset"/>
    <n v="17"/>
    <n v="442.46"/>
    <n v="7521.82"/>
  </r>
  <r>
    <x v="50"/>
    <x v="4"/>
    <x v="0"/>
    <s v="Mouse"/>
    <n v="3"/>
    <n v="469.45"/>
    <n v="1408.35"/>
  </r>
  <r>
    <x v="51"/>
    <x v="4"/>
    <x v="2"/>
    <s v="Laptop"/>
    <n v="15"/>
    <n v="304.31"/>
    <n v="4564.6499999999996"/>
  </r>
  <r>
    <x v="26"/>
    <x v="1"/>
    <x v="0"/>
    <s v="Mouse"/>
    <n v="15"/>
    <n v="363.49"/>
    <n v="5452.35"/>
  </r>
  <r>
    <x v="35"/>
    <x v="2"/>
    <x v="1"/>
    <s v="Laptop"/>
    <n v="14"/>
    <n v="465.12"/>
    <n v="6511.68"/>
  </r>
  <r>
    <x v="52"/>
    <x v="1"/>
    <x v="2"/>
    <s v="Laptop"/>
    <n v="14"/>
    <n v="368.26"/>
    <n v="5155.6400000000003"/>
  </r>
  <r>
    <x v="1"/>
    <x v="2"/>
    <x v="2"/>
    <s v="Laptop"/>
    <n v="2"/>
    <n v="118.64"/>
    <n v="237.28"/>
  </r>
  <r>
    <x v="2"/>
    <x v="3"/>
    <x v="1"/>
    <s v="Headset"/>
    <n v="13"/>
    <n v="309.33"/>
    <n v="4021.29"/>
  </r>
  <r>
    <x v="43"/>
    <x v="0"/>
    <x v="2"/>
    <s v="Monitor"/>
    <n v="14"/>
    <n v="323.02"/>
    <n v="4522.28"/>
  </r>
  <r>
    <x v="6"/>
    <x v="0"/>
    <x v="0"/>
    <s v="Mouse"/>
    <n v="19"/>
    <n v="240.86"/>
    <n v="4576.34"/>
  </r>
  <r>
    <x v="26"/>
    <x v="0"/>
    <x v="3"/>
    <s v="Headset"/>
    <n v="7"/>
    <n v="381.4"/>
    <n v="2669.8"/>
  </r>
  <r>
    <x v="53"/>
    <x v="1"/>
    <x v="0"/>
    <s v="Headset"/>
    <n v="3"/>
    <n v="470.47"/>
    <n v="1411.41"/>
  </r>
  <r>
    <x v="54"/>
    <x v="3"/>
    <x v="3"/>
    <s v="Headset"/>
    <n v="15"/>
    <n v="466.51"/>
    <n v="6997.65"/>
  </r>
  <r>
    <x v="25"/>
    <x v="2"/>
    <x v="3"/>
    <s v="Headset"/>
    <n v="14"/>
    <n v="252.88"/>
    <n v="3540.32"/>
  </r>
  <r>
    <x v="55"/>
    <x v="4"/>
    <x v="0"/>
    <s v="Headset"/>
    <n v="11"/>
    <n v="100.96"/>
    <n v="1110.56"/>
  </r>
  <r>
    <x v="12"/>
    <x v="2"/>
    <x v="0"/>
    <s v="Keyboard"/>
    <n v="15"/>
    <n v="493.18"/>
    <n v="7397.7"/>
  </r>
  <r>
    <x v="9"/>
    <x v="4"/>
    <x v="0"/>
    <s v="Mouse"/>
    <n v="13"/>
    <n v="427.5"/>
    <n v="5557.5"/>
  </r>
  <r>
    <x v="56"/>
    <x v="2"/>
    <x v="0"/>
    <s v="Headset"/>
    <n v="18"/>
    <n v="106.1"/>
    <n v="1909.8"/>
  </r>
  <r>
    <x v="21"/>
    <x v="3"/>
    <x v="1"/>
    <s v="Mouse"/>
    <n v="6"/>
    <n v="464.38"/>
    <n v="2786.28"/>
  </r>
  <r>
    <x v="17"/>
    <x v="4"/>
    <x v="2"/>
    <s v="Keyboard"/>
    <n v="3"/>
    <n v="441.45"/>
    <n v="1324.35"/>
  </r>
  <r>
    <x v="57"/>
    <x v="1"/>
    <x v="3"/>
    <s v="Keyboard"/>
    <n v="19"/>
    <n v="283.48"/>
    <n v="5386.12"/>
  </r>
  <r>
    <x v="58"/>
    <x v="2"/>
    <x v="0"/>
    <s v="Mouse"/>
    <n v="15"/>
    <n v="316.07"/>
    <n v="4741.05"/>
  </r>
  <r>
    <x v="1"/>
    <x v="2"/>
    <x v="0"/>
    <s v="Laptop"/>
    <n v="5"/>
    <n v="229.55"/>
    <n v="1147.75"/>
  </r>
  <r>
    <x v="59"/>
    <x v="4"/>
    <x v="0"/>
    <s v="Monitor"/>
    <n v="10"/>
    <n v="74.64"/>
    <n v="746.4"/>
  </r>
  <r>
    <x v="60"/>
    <x v="1"/>
    <x v="1"/>
    <s v="Laptop"/>
    <n v="7"/>
    <n v="200.84"/>
    <n v="1405.88"/>
  </r>
  <r>
    <x v="21"/>
    <x v="1"/>
    <x v="0"/>
    <s v="Laptop"/>
    <n v="17"/>
    <n v="411.28"/>
    <n v="6991.76"/>
  </r>
  <r>
    <x v="39"/>
    <x v="3"/>
    <x v="0"/>
    <s v="Laptop"/>
    <n v="7"/>
    <n v="52.08"/>
    <n v="364.56"/>
  </r>
  <r>
    <x v="36"/>
    <x v="1"/>
    <x v="0"/>
    <s v="Headset"/>
    <n v="12"/>
    <n v="200.07"/>
    <n v="2400.84"/>
  </r>
  <r>
    <x v="8"/>
    <x v="1"/>
    <x v="2"/>
    <s v="Keyboard"/>
    <n v="17"/>
    <n v="229.18"/>
    <n v="3896.06"/>
  </r>
  <r>
    <x v="61"/>
    <x v="1"/>
    <x v="1"/>
    <s v="Laptop"/>
    <n v="13"/>
    <n v="291.83"/>
    <n v="3793.79"/>
  </r>
  <r>
    <x v="41"/>
    <x v="0"/>
    <x v="0"/>
    <s v="Keyboard"/>
    <n v="4"/>
    <n v="463.94"/>
    <n v="1855.76"/>
  </r>
  <r>
    <x v="8"/>
    <x v="3"/>
    <x v="3"/>
    <s v="Mouse"/>
    <n v="10"/>
    <n v="205.86"/>
    <n v="2058.6"/>
  </r>
  <r>
    <x v="49"/>
    <x v="2"/>
    <x v="3"/>
    <s v="Monitor"/>
    <n v="3"/>
    <n v="206.13"/>
    <n v="618.39"/>
  </r>
  <r>
    <x v="62"/>
    <x v="4"/>
    <x v="3"/>
    <s v="Mouse"/>
    <n v="9"/>
    <n v="381.88"/>
    <n v="3436.92"/>
  </r>
  <r>
    <x v="44"/>
    <x v="2"/>
    <x v="1"/>
    <s v="Mouse"/>
    <n v="13"/>
    <n v="253.5"/>
    <n v="3295.5"/>
  </r>
  <r>
    <x v="41"/>
    <x v="3"/>
    <x v="1"/>
    <s v="Headset"/>
    <n v="18"/>
    <n v="151.07"/>
    <n v="2719.26"/>
  </r>
  <r>
    <x v="42"/>
    <x v="4"/>
    <x v="3"/>
    <s v="Monitor"/>
    <n v="15"/>
    <n v="253.6"/>
    <n v="3804"/>
  </r>
  <r>
    <x v="42"/>
    <x v="3"/>
    <x v="0"/>
    <s v="Mouse"/>
    <n v="4"/>
    <n v="113.39"/>
    <n v="453.56"/>
  </r>
  <r>
    <x v="18"/>
    <x v="1"/>
    <x v="1"/>
    <s v="Mouse"/>
    <n v="15"/>
    <n v="129.37"/>
    <n v="1940.55"/>
  </r>
  <r>
    <x v="63"/>
    <x v="4"/>
    <x v="3"/>
    <s v="Monitor"/>
    <n v="2"/>
    <n v="274.27"/>
    <n v="548.54"/>
  </r>
  <r>
    <x v="57"/>
    <x v="1"/>
    <x v="3"/>
    <s v="Monitor"/>
    <n v="15"/>
    <n v="238.52"/>
    <n v="3577.8"/>
  </r>
  <r>
    <x v="64"/>
    <x v="2"/>
    <x v="0"/>
    <s v="Mouse"/>
    <n v="8"/>
    <n v="461.68"/>
    <n v="3693.44"/>
  </r>
  <r>
    <x v="30"/>
    <x v="2"/>
    <x v="2"/>
    <s v="Monitor"/>
    <n v="8"/>
    <n v="213.08"/>
    <n v="1704.64"/>
  </r>
  <r>
    <x v="31"/>
    <x v="4"/>
    <x v="1"/>
    <s v="Mouse"/>
    <n v="17"/>
    <n v="311.26"/>
    <n v="5291.42"/>
  </r>
  <r>
    <x v="2"/>
    <x v="4"/>
    <x v="0"/>
    <s v="Mouse"/>
    <n v="12"/>
    <n v="334.52"/>
    <n v="4014.24"/>
  </r>
  <r>
    <x v="65"/>
    <x v="3"/>
    <x v="3"/>
    <s v="Headset"/>
    <n v="19"/>
    <n v="55.89"/>
    <n v="1061.9100000000001"/>
  </r>
  <r>
    <x v="50"/>
    <x v="3"/>
    <x v="3"/>
    <s v="Laptop"/>
    <n v="10"/>
    <n v="348.59"/>
    <n v="3485.9"/>
  </r>
  <r>
    <x v="18"/>
    <x v="1"/>
    <x v="0"/>
    <s v="Mouse"/>
    <n v="9"/>
    <n v="130.12"/>
    <n v="1171.08"/>
  </r>
  <r>
    <x v="52"/>
    <x v="4"/>
    <x v="1"/>
    <s v="Keyboard"/>
    <n v="5"/>
    <n v="482.48"/>
    <n v="2412.4"/>
  </r>
  <r>
    <x v="66"/>
    <x v="2"/>
    <x v="2"/>
    <s v="Laptop"/>
    <n v="6"/>
    <n v="116.9"/>
    <n v="701.4"/>
  </r>
  <r>
    <x v="26"/>
    <x v="3"/>
    <x v="2"/>
    <s v="Laptop"/>
    <n v="2"/>
    <n v="236.58"/>
    <n v="473.16"/>
  </r>
  <r>
    <x v="8"/>
    <x v="3"/>
    <x v="3"/>
    <s v="Laptop"/>
    <n v="13"/>
    <n v="88.41"/>
    <n v="1149.33"/>
  </r>
  <r>
    <x v="67"/>
    <x v="2"/>
    <x v="1"/>
    <s v="Headset"/>
    <n v="6"/>
    <n v="498.59"/>
    <n v="2991.54"/>
  </r>
  <r>
    <x v="40"/>
    <x v="3"/>
    <x v="2"/>
    <s v="Mouse"/>
    <n v="5"/>
    <n v="275.99"/>
    <n v="1379.95"/>
  </r>
  <r>
    <x v="68"/>
    <x v="1"/>
    <x v="1"/>
    <s v="Headset"/>
    <n v="1"/>
    <n v="317.92"/>
    <n v="317.92"/>
  </r>
  <r>
    <x v="42"/>
    <x v="4"/>
    <x v="1"/>
    <s v="Mouse"/>
    <n v="6"/>
    <n v="80.180000000000007"/>
    <n v="481.08"/>
  </r>
  <r>
    <x v="60"/>
    <x v="2"/>
    <x v="3"/>
    <s v="Headset"/>
    <n v="6"/>
    <n v="387.48"/>
    <n v="2324.88"/>
  </r>
  <r>
    <x v="27"/>
    <x v="4"/>
    <x v="2"/>
    <s v="Headset"/>
    <n v="16"/>
    <n v="144.46"/>
    <n v="2311.36"/>
  </r>
  <r>
    <x v="43"/>
    <x v="3"/>
    <x v="0"/>
    <s v="Keyboard"/>
    <n v="4"/>
    <n v="454.12"/>
    <n v="1816.48"/>
  </r>
  <r>
    <x v="10"/>
    <x v="3"/>
    <x v="3"/>
    <s v="Headset"/>
    <n v="11"/>
    <n v="142.31"/>
    <n v="1565.41"/>
  </r>
  <r>
    <x v="61"/>
    <x v="2"/>
    <x v="2"/>
    <s v="Monitor"/>
    <n v="9"/>
    <n v="135.81"/>
    <n v="1222.29"/>
  </r>
  <r>
    <x v="63"/>
    <x v="1"/>
    <x v="2"/>
    <s v="Keyboard"/>
    <n v="3"/>
    <n v="66.45"/>
    <n v="199.35"/>
  </r>
  <r>
    <x v="37"/>
    <x v="0"/>
    <x v="2"/>
    <s v="Headset"/>
    <n v="19"/>
    <n v="262.43"/>
    <n v="4986.17"/>
  </r>
  <r>
    <x v="35"/>
    <x v="2"/>
    <x v="2"/>
    <s v="Laptop"/>
    <n v="8"/>
    <n v="304.18"/>
    <n v="2433.44"/>
  </r>
  <r>
    <x v="69"/>
    <x v="0"/>
    <x v="2"/>
    <s v="Monitor"/>
    <n v="5"/>
    <n v="79.569999999999993"/>
    <n v="397.85"/>
  </r>
  <r>
    <x v="36"/>
    <x v="0"/>
    <x v="1"/>
    <s v="Monitor"/>
    <n v="4"/>
    <n v="398.99"/>
    <n v="1595.96"/>
  </r>
  <r>
    <x v="70"/>
    <x v="1"/>
    <x v="3"/>
    <s v="Monitor"/>
    <n v="6"/>
    <n v="253.98"/>
    <n v="1523.88"/>
  </r>
  <r>
    <x v="1"/>
    <x v="0"/>
    <x v="1"/>
    <s v="Keyboard"/>
    <n v="2"/>
    <n v="285.98"/>
    <n v="571.96"/>
  </r>
  <r>
    <x v="37"/>
    <x v="0"/>
    <x v="0"/>
    <s v="Headset"/>
    <n v="11"/>
    <n v="248.34"/>
    <n v="2731.74"/>
  </r>
  <r>
    <x v="24"/>
    <x v="1"/>
    <x v="2"/>
    <s v="Headset"/>
    <n v="4"/>
    <n v="230.34"/>
    <n v="921.36"/>
  </r>
  <r>
    <x v="71"/>
    <x v="0"/>
    <x v="3"/>
    <s v="Laptop"/>
    <n v="15"/>
    <n v="301.83999999999997"/>
    <n v="4527.6000000000004"/>
  </r>
  <r>
    <x v="28"/>
    <x v="0"/>
    <x v="2"/>
    <s v="Laptop"/>
    <n v="6"/>
    <n v="119.86"/>
    <n v="719.16"/>
  </r>
  <r>
    <x v="49"/>
    <x v="0"/>
    <x v="3"/>
    <s v="Monitor"/>
    <n v="17"/>
    <n v="131.87"/>
    <n v="2241.79"/>
  </r>
  <r>
    <x v="0"/>
    <x v="2"/>
    <x v="1"/>
    <s v="Laptop"/>
    <n v="6"/>
    <n v="437.8"/>
    <n v="2626.8"/>
  </r>
  <r>
    <x v="34"/>
    <x v="2"/>
    <x v="3"/>
    <s v="Keyboard"/>
    <n v="19"/>
    <n v="475.75"/>
    <n v="9039.25"/>
  </r>
  <r>
    <x v="66"/>
    <x v="2"/>
    <x v="0"/>
    <s v="Headset"/>
    <n v="2"/>
    <n v="217.99"/>
    <n v="435.98"/>
  </r>
  <r>
    <x v="1"/>
    <x v="1"/>
    <x v="0"/>
    <s v="Monitor"/>
    <n v="15"/>
    <n v="171.84"/>
    <n v="2577.6"/>
  </r>
  <r>
    <x v="72"/>
    <x v="3"/>
    <x v="3"/>
    <s v="Laptop"/>
    <n v="11"/>
    <n v="339.8"/>
    <n v="3737.8"/>
  </r>
  <r>
    <x v="58"/>
    <x v="0"/>
    <x v="3"/>
    <s v="Keyboard"/>
    <n v="8"/>
    <n v="233.93"/>
    <n v="1871.44"/>
  </r>
  <r>
    <x v="45"/>
    <x v="0"/>
    <x v="3"/>
    <s v="Keyboard"/>
    <n v="19"/>
    <n v="61.42"/>
    <n v="1166.98"/>
  </r>
  <r>
    <x v="73"/>
    <x v="1"/>
    <x v="3"/>
    <s v="Laptop"/>
    <n v="13"/>
    <n v="120.27"/>
    <n v="1563.51"/>
  </r>
  <r>
    <x v="74"/>
    <x v="0"/>
    <x v="0"/>
    <s v="Headset"/>
    <n v="12"/>
    <n v="372.19"/>
    <n v="4466.28"/>
  </r>
  <r>
    <x v="39"/>
    <x v="2"/>
    <x v="2"/>
    <s v="Laptop"/>
    <n v="5"/>
    <n v="346.52"/>
    <n v="1732.6"/>
  </r>
  <r>
    <x v="23"/>
    <x v="3"/>
    <x v="3"/>
    <s v="Monitor"/>
    <n v="6"/>
    <n v="62.19"/>
    <n v="373.14"/>
  </r>
  <r>
    <x v="68"/>
    <x v="4"/>
    <x v="3"/>
    <s v="Laptop"/>
    <n v="4"/>
    <n v="149.88999999999999"/>
    <n v="599.55999999999995"/>
  </r>
  <r>
    <x v="64"/>
    <x v="0"/>
    <x v="0"/>
    <s v="Keyboard"/>
    <n v="19"/>
    <n v="153.97999999999999"/>
    <n v="2925.62"/>
  </r>
  <r>
    <x v="75"/>
    <x v="2"/>
    <x v="0"/>
    <s v="Laptop"/>
    <n v="1"/>
    <n v="352.35"/>
    <n v="352.35"/>
  </r>
  <r>
    <x v="24"/>
    <x v="4"/>
    <x v="1"/>
    <s v="Headset"/>
    <n v="17"/>
    <n v="58.87"/>
    <n v="1000.79"/>
  </r>
  <r>
    <x v="59"/>
    <x v="3"/>
    <x v="3"/>
    <s v="Mouse"/>
    <n v="12"/>
    <n v="96.85"/>
    <n v="1162.2"/>
  </r>
  <r>
    <x v="26"/>
    <x v="4"/>
    <x v="1"/>
    <s v="Laptop"/>
    <n v="15"/>
    <n v="409.96"/>
    <n v="6149.4"/>
  </r>
  <r>
    <x v="76"/>
    <x v="2"/>
    <x v="0"/>
    <s v="Headset"/>
    <n v="1"/>
    <n v="130.35"/>
    <n v="130.35"/>
  </r>
  <r>
    <x v="47"/>
    <x v="4"/>
    <x v="0"/>
    <s v="Headset"/>
    <n v="14"/>
    <n v="343.74"/>
    <n v="4812.3599999999997"/>
  </r>
  <r>
    <x v="64"/>
    <x v="1"/>
    <x v="2"/>
    <s v="Keyboard"/>
    <n v="6"/>
    <n v="157.18"/>
    <n v="943.08"/>
  </r>
  <r>
    <x v="64"/>
    <x v="4"/>
    <x v="3"/>
    <s v="Headset"/>
    <n v="5"/>
    <n v="94.75"/>
    <n v="473.75"/>
  </r>
  <r>
    <x v="40"/>
    <x v="0"/>
    <x v="1"/>
    <s v="Headset"/>
    <n v="11"/>
    <n v="159.43"/>
    <n v="1753.73"/>
  </r>
  <r>
    <x v="38"/>
    <x v="0"/>
    <x v="0"/>
    <s v="Headset"/>
    <n v="4"/>
    <n v="375.02"/>
    <n v="1500.08"/>
  </r>
  <r>
    <x v="14"/>
    <x v="1"/>
    <x v="0"/>
    <s v="Headset"/>
    <n v="13"/>
    <n v="435.06"/>
    <n v="5655.78"/>
  </r>
  <r>
    <x v="26"/>
    <x v="2"/>
    <x v="1"/>
    <s v="Monitor"/>
    <n v="11"/>
    <n v="423.6"/>
    <n v="4659.6000000000004"/>
  </r>
  <r>
    <x v="7"/>
    <x v="0"/>
    <x v="2"/>
    <s v="Monitor"/>
    <n v="3"/>
    <n v="228.73"/>
    <n v="686.19"/>
  </r>
  <r>
    <x v="21"/>
    <x v="3"/>
    <x v="0"/>
    <s v="Keyboard"/>
    <n v="1"/>
    <n v="350.64"/>
    <n v="350.64"/>
  </r>
  <r>
    <x v="26"/>
    <x v="0"/>
    <x v="3"/>
    <s v="Laptop"/>
    <n v="6"/>
    <n v="142.24"/>
    <n v="853.44"/>
  </r>
  <r>
    <x v="61"/>
    <x v="0"/>
    <x v="0"/>
    <s v="Headset"/>
    <n v="18"/>
    <n v="181.92"/>
    <n v="3274.56"/>
  </r>
  <r>
    <x v="69"/>
    <x v="2"/>
    <x v="3"/>
    <s v="Laptop"/>
    <n v="10"/>
    <n v="453.35"/>
    <n v="4533.5"/>
  </r>
  <r>
    <x v="26"/>
    <x v="4"/>
    <x v="1"/>
    <s v="Laptop"/>
    <n v="5"/>
    <n v="55.85"/>
    <n v="279.25"/>
  </r>
  <r>
    <x v="71"/>
    <x v="0"/>
    <x v="3"/>
    <s v="Keyboard"/>
    <n v="10"/>
    <n v="88.48"/>
    <n v="884.8"/>
  </r>
  <r>
    <x v="10"/>
    <x v="1"/>
    <x v="1"/>
    <s v="Headset"/>
    <n v="12"/>
    <n v="143.55000000000001"/>
    <n v="1722.6"/>
  </r>
  <r>
    <x v="77"/>
    <x v="4"/>
    <x v="3"/>
    <s v="Headset"/>
    <n v="2"/>
    <n v="61.94"/>
    <n v="123.88"/>
  </r>
  <r>
    <x v="2"/>
    <x v="3"/>
    <x v="1"/>
    <s v="Mouse"/>
    <n v="13"/>
    <n v="131.65"/>
    <n v="1711.45"/>
  </r>
  <r>
    <x v="69"/>
    <x v="2"/>
    <x v="3"/>
    <s v="Laptop"/>
    <n v="8"/>
    <n v="312.37"/>
    <n v="2498.96"/>
  </r>
  <r>
    <x v="36"/>
    <x v="3"/>
    <x v="2"/>
    <s v="Laptop"/>
    <n v="2"/>
    <n v="239.64"/>
    <n v="479.28"/>
  </r>
  <r>
    <x v="26"/>
    <x v="4"/>
    <x v="3"/>
    <s v="Monitor"/>
    <n v="1"/>
    <n v="451.7"/>
    <n v="451.7"/>
  </r>
  <r>
    <x v="67"/>
    <x v="4"/>
    <x v="3"/>
    <s v="Mouse"/>
    <n v="5"/>
    <n v="417.85"/>
    <n v="2089.25"/>
  </r>
  <r>
    <x v="28"/>
    <x v="4"/>
    <x v="2"/>
    <s v="Monitor"/>
    <n v="9"/>
    <n v="203.82"/>
    <n v="1834.38"/>
  </r>
  <r>
    <x v="40"/>
    <x v="3"/>
    <x v="0"/>
    <s v="Monitor"/>
    <n v="17"/>
    <n v="166.74"/>
    <n v="2834.58"/>
  </r>
  <r>
    <x v="9"/>
    <x v="4"/>
    <x v="0"/>
    <s v="Monitor"/>
    <n v="9"/>
    <n v="220.86"/>
    <n v="1987.74"/>
  </r>
  <r>
    <x v="70"/>
    <x v="3"/>
    <x v="3"/>
    <s v="Keyboard"/>
    <n v="11"/>
    <n v="315.63"/>
    <n v="3471.93"/>
  </r>
  <r>
    <x v="23"/>
    <x v="4"/>
    <x v="2"/>
    <s v="Keyboard"/>
    <n v="15"/>
    <n v="170.63"/>
    <n v="2559.4499999999998"/>
  </r>
  <r>
    <x v="74"/>
    <x v="1"/>
    <x v="3"/>
    <s v="Monitor"/>
    <n v="6"/>
    <n v="330.87"/>
    <n v="1985.22"/>
  </r>
  <r>
    <x v="8"/>
    <x v="4"/>
    <x v="1"/>
    <s v="Mouse"/>
    <n v="3"/>
    <n v="234.24"/>
    <n v="702.72"/>
  </r>
  <r>
    <x v="0"/>
    <x v="3"/>
    <x v="1"/>
    <s v="Laptop"/>
    <n v="17"/>
    <n v="298.42"/>
    <n v="5073.1400000000003"/>
  </r>
  <r>
    <x v="26"/>
    <x v="0"/>
    <x v="3"/>
    <s v="Mouse"/>
    <n v="5"/>
    <n v="246.26"/>
    <n v="1231.3"/>
  </r>
  <r>
    <x v="20"/>
    <x v="4"/>
    <x v="0"/>
    <s v="Headset"/>
    <n v="12"/>
    <n v="182.51"/>
    <n v="2190.12"/>
  </r>
  <r>
    <x v="0"/>
    <x v="0"/>
    <x v="0"/>
    <s v="Keyboard"/>
    <n v="18"/>
    <n v="476.8"/>
    <n v="8582.4"/>
  </r>
  <r>
    <x v="65"/>
    <x v="1"/>
    <x v="3"/>
    <s v="Laptop"/>
    <n v="14"/>
    <n v="393.62"/>
    <n v="5510.68"/>
  </r>
  <r>
    <x v="32"/>
    <x v="2"/>
    <x v="3"/>
    <s v="Laptop"/>
    <n v="11"/>
    <n v="113.05"/>
    <n v="1243.5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38B2732-29CA-4F96-A19A-4F5F44AED075}" name="PivotTable1"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 firstHeaderRow="1" firstDataRow="1" firstDataCol="1" rowPageCount="1" colPageCount="1"/>
  <pivotFields count="9">
    <pivotField numFmtId="14" showAll="0">
      <items count="79">
        <item x="61"/>
        <item x="13"/>
        <item x="10"/>
        <item x="34"/>
        <item x="63"/>
        <item x="47"/>
        <item x="30"/>
        <item x="41"/>
        <item x="36"/>
        <item x="62"/>
        <item x="65"/>
        <item x="73"/>
        <item x="35"/>
        <item x="1"/>
        <item x="33"/>
        <item x="4"/>
        <item x="11"/>
        <item x="66"/>
        <item x="9"/>
        <item x="56"/>
        <item x="69"/>
        <item x="64"/>
        <item x="58"/>
        <item x="14"/>
        <item x="74"/>
        <item x="18"/>
        <item x="50"/>
        <item x="42"/>
        <item x="45"/>
        <item x="67"/>
        <item x="15"/>
        <item x="32"/>
        <item x="53"/>
        <item x="57"/>
        <item x="24"/>
        <item x="72"/>
        <item x="40"/>
        <item x="59"/>
        <item x="27"/>
        <item x="52"/>
        <item x="22"/>
        <item x="46"/>
        <item x="28"/>
        <item x="0"/>
        <item x="12"/>
        <item x="48"/>
        <item x="29"/>
        <item x="76"/>
        <item x="20"/>
        <item x="23"/>
        <item x="17"/>
        <item x="3"/>
        <item x="26"/>
        <item x="49"/>
        <item x="16"/>
        <item x="60"/>
        <item x="75"/>
        <item x="77"/>
        <item x="39"/>
        <item x="2"/>
        <item x="31"/>
        <item x="51"/>
        <item x="7"/>
        <item x="19"/>
        <item x="71"/>
        <item x="43"/>
        <item x="70"/>
        <item x="25"/>
        <item x="44"/>
        <item x="55"/>
        <item x="5"/>
        <item x="38"/>
        <item x="54"/>
        <item x="68"/>
        <item x="6"/>
        <item x="8"/>
        <item x="21"/>
        <item x="37"/>
        <item t="default"/>
      </items>
    </pivotField>
    <pivotField axis="axisRow" showAll="0" sortType="ascending">
      <items count="6">
        <item x="1"/>
        <item x="2"/>
        <item x="3"/>
        <item x="0"/>
        <item x="4"/>
        <item t="default"/>
      </items>
      <autoSortScope>
        <pivotArea dataOnly="0" outline="0" fieldPosition="0">
          <references count="1">
            <reference field="4294967294" count="1" selected="0">
              <x v="0"/>
            </reference>
          </references>
        </pivotArea>
      </autoSortScope>
    </pivotField>
    <pivotField axis="axisPage" multipleItemSelectionAllowed="1" showAll="0">
      <items count="5">
        <item x="1"/>
        <item h="1" x="3"/>
        <item h="1" x="2"/>
        <item h="1" x="0"/>
        <item t="default"/>
      </items>
    </pivotField>
    <pivotField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6">
    <i>
      <x v="3"/>
    </i>
    <i>
      <x v="2"/>
    </i>
    <i>
      <x v="4"/>
    </i>
    <i>
      <x v="1"/>
    </i>
    <i>
      <x/>
    </i>
    <i t="grand">
      <x/>
    </i>
  </rowItems>
  <colItems count="1">
    <i/>
  </colItems>
  <pageFields count="1">
    <pageField fld="2" hier="-1"/>
  </pageFields>
  <dataFields count="1">
    <dataField name="Sum of Total Sales" fld="6" baseField="0" baseItem="0"/>
  </dataFields>
  <formats count="1">
    <format dxfId="1">
      <pivotArea dataOnly="0" labelOnly="1" fieldPosition="0">
        <references count="1">
          <reference field="1" count="1">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91B6DCB-7113-4F15-9FDE-D42A2F972A8D}" name="PivotTable2"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 firstHeaderRow="1" firstDataRow="1" firstDataCol="1"/>
  <pivotFields count="9">
    <pivotField numFmtId="14" showAll="0">
      <items count="79">
        <item x="61"/>
        <item x="13"/>
        <item x="10"/>
        <item x="34"/>
        <item x="63"/>
        <item x="47"/>
        <item x="30"/>
        <item x="41"/>
        <item x="36"/>
        <item x="62"/>
        <item x="65"/>
        <item x="73"/>
        <item x="35"/>
        <item x="1"/>
        <item x="33"/>
        <item x="4"/>
        <item x="11"/>
        <item x="66"/>
        <item x="9"/>
        <item x="56"/>
        <item x="69"/>
        <item x="64"/>
        <item x="58"/>
        <item x="14"/>
        <item x="74"/>
        <item x="18"/>
        <item x="50"/>
        <item x="42"/>
        <item x="45"/>
        <item x="67"/>
        <item x="15"/>
        <item x="32"/>
        <item x="53"/>
        <item x="57"/>
        <item x="24"/>
        <item x="72"/>
        <item x="40"/>
        <item x="59"/>
        <item x="27"/>
        <item x="52"/>
        <item x="22"/>
        <item x="46"/>
        <item x="28"/>
        <item x="0"/>
        <item x="12"/>
        <item x="48"/>
        <item x="29"/>
        <item x="76"/>
        <item x="20"/>
        <item x="23"/>
        <item x="17"/>
        <item x="3"/>
        <item x="26"/>
        <item x="49"/>
        <item x="16"/>
        <item x="60"/>
        <item x="75"/>
        <item x="77"/>
        <item x="39"/>
        <item x="2"/>
        <item x="31"/>
        <item x="51"/>
        <item x="7"/>
        <item x="19"/>
        <item x="71"/>
        <item x="43"/>
        <item x="70"/>
        <item x="25"/>
        <item x="44"/>
        <item x="55"/>
        <item x="5"/>
        <item x="38"/>
        <item x="54"/>
        <item x="68"/>
        <item x="6"/>
        <item x="8"/>
        <item x="21"/>
        <item x="37"/>
        <item t="default"/>
      </items>
    </pivotField>
    <pivotField axis="axisRow" showAll="0">
      <items count="6">
        <item x="1"/>
        <item x="2"/>
        <item x="3"/>
        <item x="0"/>
        <item x="4"/>
        <item t="default"/>
      </items>
    </pivotField>
    <pivotField showAll="0"/>
    <pivotField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6">
    <i>
      <x/>
    </i>
    <i>
      <x v="1"/>
    </i>
    <i>
      <x v="2"/>
    </i>
    <i>
      <x v="3"/>
    </i>
    <i>
      <x v="4"/>
    </i>
    <i t="grand">
      <x/>
    </i>
  </rowItems>
  <colItems count="1">
    <i/>
  </colItems>
  <dataFields count="1">
    <dataField name="Sum of Total Sale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E83427C-1FAC-4462-A535-58427D29CF2F}" name="PivotTable3"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9">
    <pivotField numFmtId="14" showAll="0">
      <items count="79">
        <item x="61"/>
        <item x="13"/>
        <item x="10"/>
        <item x="34"/>
        <item x="63"/>
        <item x="47"/>
        <item x="30"/>
        <item x="41"/>
        <item x="36"/>
        <item x="62"/>
        <item x="65"/>
        <item x="73"/>
        <item x="35"/>
        <item x="1"/>
        <item x="33"/>
        <item x="4"/>
        <item x="11"/>
        <item x="66"/>
        <item x="9"/>
        <item x="56"/>
        <item x="69"/>
        <item x="64"/>
        <item x="58"/>
        <item x="14"/>
        <item x="74"/>
        <item x="18"/>
        <item x="50"/>
        <item x="42"/>
        <item x="45"/>
        <item x="67"/>
        <item x="15"/>
        <item x="32"/>
        <item x="53"/>
        <item x="57"/>
        <item x="24"/>
        <item x="72"/>
        <item x="40"/>
        <item x="59"/>
        <item x="27"/>
        <item x="52"/>
        <item x="22"/>
        <item x="46"/>
        <item x="28"/>
        <item x="0"/>
        <item x="12"/>
        <item x="48"/>
        <item x="29"/>
        <item x="76"/>
        <item x="20"/>
        <item x="23"/>
        <item x="17"/>
        <item x="3"/>
        <item x="26"/>
        <item x="49"/>
        <item x="16"/>
        <item x="60"/>
        <item x="75"/>
        <item x="77"/>
        <item x="39"/>
        <item x="2"/>
        <item x="31"/>
        <item x="51"/>
        <item x="7"/>
        <item x="19"/>
        <item x="71"/>
        <item x="43"/>
        <item x="70"/>
        <item x="25"/>
        <item x="44"/>
        <item x="55"/>
        <item x="5"/>
        <item x="38"/>
        <item x="54"/>
        <item x="68"/>
        <item x="6"/>
        <item x="8"/>
        <item x="21"/>
        <item x="37"/>
        <item t="default"/>
      </items>
    </pivotField>
    <pivotField showAll="0"/>
    <pivotField axis="axisRow" showAll="0">
      <items count="5">
        <item x="1"/>
        <item x="3"/>
        <item x="2"/>
        <item x="0"/>
        <item t="default"/>
      </items>
    </pivotField>
    <pivotField showAll="0"/>
    <pivotField showAll="0"/>
    <pivotField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5">
    <i>
      <x/>
    </i>
    <i>
      <x v="1"/>
    </i>
    <i>
      <x v="2"/>
    </i>
    <i>
      <x v="3"/>
    </i>
    <i t="grand">
      <x/>
    </i>
  </rowItems>
  <colItems count="1">
    <i/>
  </colItems>
  <dataFields count="1">
    <dataField name="Sum of Total Sales" fld="6" showDataAs="runTotal"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F73BEF4-8BF9-407C-A39A-8D1584B89E16}" name="PivotTable4"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9" firstHeaderRow="1" firstDataRow="1" firstDataCol="1"/>
  <pivotFields count="9">
    <pivotField numFmtId="14" showAll="0">
      <items count="79">
        <item x="61"/>
        <item x="13"/>
        <item x="10"/>
        <item x="34"/>
        <item x="63"/>
        <item x="47"/>
        <item x="30"/>
        <item x="41"/>
        <item x="36"/>
        <item x="62"/>
        <item x="65"/>
        <item x="73"/>
        <item x="35"/>
        <item x="1"/>
        <item x="33"/>
        <item x="4"/>
        <item x="11"/>
        <item x="66"/>
        <item x="9"/>
        <item x="56"/>
        <item x="69"/>
        <item x="64"/>
        <item x="58"/>
        <item x="14"/>
        <item x="74"/>
        <item x="18"/>
        <item x="50"/>
        <item x="42"/>
        <item x="45"/>
        <item x="67"/>
        <item x="15"/>
        <item x="32"/>
        <item x="53"/>
        <item x="57"/>
        <item x="24"/>
        <item x="72"/>
        <item x="40"/>
        <item x="59"/>
        <item x="27"/>
        <item x="52"/>
        <item x="22"/>
        <item x="46"/>
        <item x="28"/>
        <item x="0"/>
        <item x="12"/>
        <item x="48"/>
        <item x="29"/>
        <item x="76"/>
        <item x="20"/>
        <item x="23"/>
        <item x="17"/>
        <item x="3"/>
        <item x="26"/>
        <item x="49"/>
        <item x="16"/>
        <item x="60"/>
        <item x="75"/>
        <item x="77"/>
        <item x="39"/>
        <item x="2"/>
        <item x="31"/>
        <item x="51"/>
        <item x="7"/>
        <item x="19"/>
        <item x="71"/>
        <item x="43"/>
        <item x="70"/>
        <item x="25"/>
        <item x="44"/>
        <item x="55"/>
        <item x="5"/>
        <item x="38"/>
        <item x="54"/>
        <item x="68"/>
        <item x="6"/>
        <item x="8"/>
        <item x="21"/>
        <item x="37"/>
        <item t="default"/>
      </items>
    </pivotField>
    <pivotField axis="axisRow" showAll="0" sortType="ascending">
      <items count="6">
        <item x="1"/>
        <item x="2"/>
        <item x="3"/>
        <item x="0"/>
        <item x="4"/>
        <item t="default"/>
      </items>
    </pivotField>
    <pivotField axis="axisRow" showAll="0" measureFilter="1" sortType="descending">
      <items count="5">
        <item x="0"/>
        <item x="2"/>
        <item x="3"/>
        <item x="1"/>
        <item t="default"/>
      </items>
    </pivotField>
    <pivotField showAll="0"/>
    <pivotField showAll="0"/>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2">
    <field x="1"/>
    <field x="2"/>
  </rowFields>
  <rowItems count="16">
    <i>
      <x/>
    </i>
    <i r="1">
      <x/>
    </i>
    <i r="1">
      <x v="3"/>
    </i>
    <i>
      <x v="1"/>
    </i>
    <i r="1">
      <x/>
    </i>
    <i r="1">
      <x v="2"/>
    </i>
    <i>
      <x v="2"/>
    </i>
    <i r="1">
      <x v="2"/>
    </i>
    <i r="1">
      <x v="3"/>
    </i>
    <i>
      <x v="3"/>
    </i>
    <i r="1">
      <x/>
    </i>
    <i r="1">
      <x v="2"/>
    </i>
    <i>
      <x v="4"/>
    </i>
    <i r="1">
      <x/>
    </i>
    <i r="1">
      <x v="1"/>
    </i>
    <i t="grand">
      <x/>
    </i>
  </rowItems>
  <colItems count="1">
    <i/>
  </colItems>
  <dataFields count="1">
    <dataField name="Sum of Total Sales" fld="6" baseField="2" baseItem="1" numFmtId="1"/>
  </dataFields>
  <pivotTableStyleInfo name="PivotStyleLight16" showRowHeaders="1" showColHeaders="1" showRowStripes="0" showColStripes="0" showLastColumn="1"/>
  <filters count="1">
    <filter fld="2" type="count" evalOrder="-1" id="1" iMeasureFld="0">
      <autoFilter ref="A1">
        <filterColumn colId="0">
          <top10 val="2" filterVal="2"/>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C8C5A88-4F86-4FDE-BD0B-4EFF7ECEB064}" name="PivotTable5"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9">
    <pivotField numFmtId="14" showAll="0">
      <items count="79">
        <item x="61"/>
        <item x="13"/>
        <item x="10"/>
        <item x="34"/>
        <item x="63"/>
        <item x="47"/>
        <item x="30"/>
        <item x="41"/>
        <item x="36"/>
        <item x="62"/>
        <item x="65"/>
        <item x="73"/>
        <item x="35"/>
        <item x="1"/>
        <item x="33"/>
        <item x="4"/>
        <item x="11"/>
        <item x="66"/>
        <item x="9"/>
        <item x="56"/>
        <item x="69"/>
        <item x="64"/>
        <item x="58"/>
        <item x="14"/>
        <item x="74"/>
        <item x="18"/>
        <item x="50"/>
        <item x="42"/>
        <item x="45"/>
        <item x="67"/>
        <item x="15"/>
        <item x="32"/>
        <item x="53"/>
        <item x="57"/>
        <item x="24"/>
        <item x="72"/>
        <item x="40"/>
        <item x="59"/>
        <item x="27"/>
        <item x="52"/>
        <item x="22"/>
        <item x="46"/>
        <item x="28"/>
        <item x="0"/>
        <item x="12"/>
        <item x="48"/>
        <item x="29"/>
        <item x="76"/>
        <item x="20"/>
        <item x="23"/>
        <item x="17"/>
        <item x="3"/>
        <item x="26"/>
        <item x="49"/>
        <item x="16"/>
        <item x="60"/>
        <item x="75"/>
        <item x="77"/>
        <item x="39"/>
        <item x="2"/>
        <item x="31"/>
        <item x="51"/>
        <item x="7"/>
        <item x="19"/>
        <item x="71"/>
        <item x="43"/>
        <item x="70"/>
        <item x="25"/>
        <item x="44"/>
        <item x="55"/>
        <item x="5"/>
        <item x="38"/>
        <item x="54"/>
        <item x="68"/>
        <item x="6"/>
        <item x="8"/>
        <item x="21"/>
        <item x="37"/>
        <item t="default"/>
      </items>
    </pivotField>
    <pivotField showAll="0"/>
    <pivotField axis="axisRow" showAll="0" sortType="descending">
      <items count="5">
        <item x="1"/>
        <item x="3"/>
        <item x="2"/>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5">
    <i>
      <x v="1"/>
    </i>
    <i>
      <x v="3"/>
    </i>
    <i>
      <x/>
    </i>
    <i>
      <x v="2"/>
    </i>
    <i t="grand">
      <x/>
    </i>
  </rowItems>
  <colItems count="1">
    <i/>
  </colItems>
  <dataFields count="1">
    <dataField name="Sum of Total Sales" fld="6" baseField="2" baseItem="1"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642A2C1-8790-41C3-8EC1-6D23F98614E3}" name="PivotTable6"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28" firstHeaderRow="1" firstDataRow="1" firstDataCol="1"/>
  <pivotFields count="9">
    <pivotField numFmtId="14" showAll="0">
      <items count="79">
        <item x="61"/>
        <item x="13"/>
        <item x="10"/>
        <item x="34"/>
        <item x="63"/>
        <item x="47"/>
        <item x="30"/>
        <item x="41"/>
        <item x="36"/>
        <item x="62"/>
        <item x="65"/>
        <item x="73"/>
        <item x="35"/>
        <item x="1"/>
        <item x="33"/>
        <item x="4"/>
        <item x="11"/>
        <item x="66"/>
        <item x="9"/>
        <item x="56"/>
        <item x="69"/>
        <item x="64"/>
        <item x="58"/>
        <item x="14"/>
        <item x="74"/>
        <item x="18"/>
        <item x="50"/>
        <item x="42"/>
        <item x="45"/>
        <item x="67"/>
        <item x="15"/>
        <item x="32"/>
        <item x="53"/>
        <item x="57"/>
        <item x="24"/>
        <item x="72"/>
        <item x="40"/>
        <item x="59"/>
        <item x="27"/>
        <item x="52"/>
        <item x="22"/>
        <item x="46"/>
        <item x="28"/>
        <item x="0"/>
        <item x="12"/>
        <item x="48"/>
        <item x="29"/>
        <item x="76"/>
        <item x="20"/>
        <item x="23"/>
        <item x="17"/>
        <item x="3"/>
        <item x="26"/>
        <item x="49"/>
        <item x="16"/>
        <item x="60"/>
        <item x="75"/>
        <item x="77"/>
        <item x="39"/>
        <item x="2"/>
        <item x="31"/>
        <item x="51"/>
        <item x="7"/>
        <item x="19"/>
        <item x="71"/>
        <item x="43"/>
        <item x="70"/>
        <item x="25"/>
        <item x="44"/>
        <item x="55"/>
        <item x="5"/>
        <item x="38"/>
        <item x="54"/>
        <item x="68"/>
        <item x="6"/>
        <item x="8"/>
        <item x="21"/>
        <item x="37"/>
        <item t="default"/>
      </items>
    </pivotField>
    <pivotField axis="axisRow" showAll="0" sortType="descending">
      <items count="6">
        <item x="1"/>
        <item x="2"/>
        <item x="3"/>
        <item x="0"/>
        <item x="4"/>
        <item t="default"/>
      </items>
      <autoSortScope>
        <pivotArea dataOnly="0" outline="0" fieldPosition="0">
          <references count="1">
            <reference field="4294967294" count="1" selected="0">
              <x v="0"/>
            </reference>
          </references>
        </pivotArea>
      </autoSortScope>
    </pivotField>
    <pivotField axis="axisRow" showAll="0">
      <items count="5">
        <item x="1"/>
        <item x="3"/>
        <item x="2"/>
        <item x="0"/>
        <item t="default"/>
      </items>
    </pivotField>
    <pivotField showAll="0"/>
    <pivotField showAll="0"/>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2">
    <field x="2"/>
    <field x="1"/>
  </rowFields>
  <rowItems count="25">
    <i>
      <x/>
    </i>
    <i r="1">
      <x/>
    </i>
    <i r="1">
      <x v="1"/>
    </i>
    <i r="1">
      <x v="4"/>
    </i>
    <i r="1">
      <x v="2"/>
    </i>
    <i r="1">
      <x v="3"/>
    </i>
    <i>
      <x v="1"/>
    </i>
    <i r="1">
      <x v="1"/>
    </i>
    <i r="1">
      <x v="3"/>
    </i>
    <i r="1">
      <x v="2"/>
    </i>
    <i r="1">
      <x/>
    </i>
    <i r="1">
      <x v="4"/>
    </i>
    <i>
      <x v="2"/>
    </i>
    <i r="1">
      <x/>
    </i>
    <i r="1">
      <x v="4"/>
    </i>
    <i r="1">
      <x v="1"/>
    </i>
    <i r="1">
      <x v="3"/>
    </i>
    <i r="1">
      <x v="2"/>
    </i>
    <i>
      <x v="3"/>
    </i>
    <i r="1">
      <x v="1"/>
    </i>
    <i r="1">
      <x v="3"/>
    </i>
    <i r="1">
      <x/>
    </i>
    <i r="1">
      <x v="4"/>
    </i>
    <i r="1">
      <x v="2"/>
    </i>
    <i t="grand">
      <x/>
    </i>
  </rowItems>
  <colItems count="1">
    <i/>
  </colItems>
  <dataFields count="1">
    <dataField name="Sum of Total Sales" fld="6" baseField="1" baseItem="2"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313A34B-DC3C-43C2-8A78-133484BEE71D}" name="PivotTable7"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9" firstHeaderRow="0" firstDataRow="1" firstDataCol="1"/>
  <pivotFields count="9">
    <pivotField numFmtId="14" showAll="0">
      <items count="79">
        <item x="61"/>
        <item x="13"/>
        <item x="10"/>
        <item x="34"/>
        <item x="63"/>
        <item x="47"/>
        <item x="30"/>
        <item x="41"/>
        <item x="36"/>
        <item x="62"/>
        <item x="65"/>
        <item x="73"/>
        <item x="35"/>
        <item x="1"/>
        <item x="33"/>
        <item x="4"/>
        <item x="11"/>
        <item x="66"/>
        <item x="9"/>
        <item x="56"/>
        <item x="69"/>
        <item x="64"/>
        <item x="58"/>
        <item x="14"/>
        <item x="74"/>
        <item x="18"/>
        <item x="50"/>
        <item x="42"/>
        <item x="45"/>
        <item x="67"/>
        <item x="15"/>
        <item x="32"/>
        <item x="53"/>
        <item x="57"/>
        <item x="24"/>
        <item x="72"/>
        <item x="40"/>
        <item x="59"/>
        <item x="27"/>
        <item x="52"/>
        <item x="22"/>
        <item x="46"/>
        <item x="28"/>
        <item x="0"/>
        <item x="12"/>
        <item x="48"/>
        <item x="29"/>
        <item x="76"/>
        <item x="20"/>
        <item x="23"/>
        <item x="17"/>
        <item x="3"/>
        <item x="26"/>
        <item x="49"/>
        <item x="16"/>
        <item x="60"/>
        <item x="75"/>
        <item x="77"/>
        <item x="39"/>
        <item x="2"/>
        <item x="31"/>
        <item x="51"/>
        <item x="7"/>
        <item x="19"/>
        <item x="71"/>
        <item x="43"/>
        <item x="70"/>
        <item x="25"/>
        <item x="44"/>
        <item x="55"/>
        <item x="5"/>
        <item x="38"/>
        <item x="54"/>
        <item x="68"/>
        <item x="6"/>
        <item x="8"/>
        <item x="21"/>
        <item x="37"/>
        <item t="default"/>
      </items>
    </pivotField>
    <pivotField axis="axisRow" showAll="0">
      <items count="6">
        <item x="1"/>
        <item x="2"/>
        <item x="3"/>
        <item x="0"/>
        <item x="4"/>
        <item t="default"/>
      </items>
    </pivotField>
    <pivotField showAll="0"/>
    <pivotField showAll="0"/>
    <pivotField showAll="0"/>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1"/>
  </rowFields>
  <rowItems count="6">
    <i>
      <x/>
    </i>
    <i>
      <x v="1"/>
    </i>
    <i>
      <x v="2"/>
    </i>
    <i>
      <x v="3"/>
    </i>
    <i>
      <x v="4"/>
    </i>
    <i t="grand">
      <x/>
    </i>
  </rowItems>
  <colFields count="1">
    <field x="-2"/>
  </colFields>
  <colItems count="2">
    <i>
      <x/>
    </i>
    <i i="1">
      <x v="1"/>
    </i>
  </colItems>
  <dataFields count="2">
    <dataField name="Max. of Total Sales" fld="6" subtotal="max" baseField="1" baseItem="2"/>
    <dataField name="Min. of Total Sales" fld="6" subtotal="min" baseField="1" baseItem="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52CBDF2-DD14-46E2-A9C0-4E2D5071F603}" name="PivotTable8"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 firstHeaderRow="1" firstDataRow="1" firstDataCol="1"/>
  <pivotFields count="9">
    <pivotField numFmtId="14" showAll="0">
      <items count="79">
        <item x="61"/>
        <item x="13"/>
        <item x="10"/>
        <item x="34"/>
        <item x="63"/>
        <item x="47"/>
        <item x="30"/>
        <item x="41"/>
        <item x="36"/>
        <item x="62"/>
        <item x="65"/>
        <item x="73"/>
        <item x="35"/>
        <item x="1"/>
        <item x="33"/>
        <item x="4"/>
        <item x="11"/>
        <item x="66"/>
        <item x="9"/>
        <item x="56"/>
        <item x="69"/>
        <item x="64"/>
        <item x="58"/>
        <item x="14"/>
        <item x="74"/>
        <item x="18"/>
        <item x="50"/>
        <item x="42"/>
        <item x="45"/>
        <item x="67"/>
        <item x="15"/>
        <item x="32"/>
        <item x="53"/>
        <item x="57"/>
        <item x="24"/>
        <item x="72"/>
        <item x="40"/>
        <item x="59"/>
        <item x="27"/>
        <item x="52"/>
        <item x="22"/>
        <item x="46"/>
        <item x="28"/>
        <item x="0"/>
        <item x="12"/>
        <item x="48"/>
        <item x="29"/>
        <item x="76"/>
        <item x="20"/>
        <item x="23"/>
        <item x="17"/>
        <item x="3"/>
        <item x="26"/>
        <item x="49"/>
        <item x="16"/>
        <item x="60"/>
        <item x="75"/>
        <item x="77"/>
        <item x="39"/>
        <item x="2"/>
        <item x="31"/>
        <item x="51"/>
        <item x="7"/>
        <item x="19"/>
        <item x="71"/>
        <item x="43"/>
        <item x="70"/>
        <item x="25"/>
        <item x="44"/>
        <item x="55"/>
        <item x="5"/>
        <item x="38"/>
        <item x="54"/>
        <item x="68"/>
        <item x="6"/>
        <item x="8"/>
        <item x="21"/>
        <item x="37"/>
        <item t="default"/>
      </items>
    </pivotField>
    <pivotField axis="axisRow" showAll="0" sortType="descending">
      <items count="6">
        <item x="1"/>
        <item x="2"/>
        <item x="3"/>
        <item x="0"/>
        <item x="4"/>
        <item t="default"/>
      </items>
      <autoSortScope>
        <pivotArea dataOnly="0" outline="0" fieldPosition="0">
          <references count="1">
            <reference field="4294967294" count="1" selected="0">
              <x v="0"/>
            </reference>
          </references>
        </pivotArea>
      </autoSortScope>
    </pivotField>
    <pivotField showAll="0">
      <items count="5">
        <item h="1" x="1"/>
        <item h="1" x="3"/>
        <item h="1" x="2"/>
        <item x="0"/>
        <item t="default"/>
      </items>
    </pivotField>
    <pivotField showAll="0"/>
    <pivotField showAll="0"/>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1"/>
  </rowFields>
  <rowItems count="6">
    <i>
      <x v="1"/>
    </i>
    <i>
      <x v="3"/>
    </i>
    <i>
      <x/>
    </i>
    <i>
      <x v="4"/>
    </i>
    <i>
      <x v="2"/>
    </i>
    <i t="grand">
      <x/>
    </i>
  </rowItems>
  <colItems count="1">
    <i/>
  </colItems>
  <dataFields count="1">
    <dataField name="Sum of Total Sale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F7C8EEB-226D-418D-8705-7A0444F1B010}" name="PivotTable9"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 firstHeaderRow="1" firstDataRow="1" firstDataCol="1"/>
  <pivotFields count="9">
    <pivotField numFmtId="14" showAll="0">
      <items count="79">
        <item x="61"/>
        <item x="13"/>
        <item x="10"/>
        <item x="34"/>
        <item x="63"/>
        <item x="47"/>
        <item x="30"/>
        <item x="41"/>
        <item x="36"/>
        <item x="62"/>
        <item x="65"/>
        <item x="73"/>
        <item x="35"/>
        <item x="1"/>
        <item x="33"/>
        <item x="4"/>
        <item x="11"/>
        <item x="66"/>
        <item x="9"/>
        <item x="56"/>
        <item x="69"/>
        <item x="64"/>
        <item x="58"/>
        <item x="14"/>
        <item x="74"/>
        <item x="18"/>
        <item x="50"/>
        <item x="42"/>
        <item x="45"/>
        <item x="67"/>
        <item x="15"/>
        <item x="32"/>
        <item x="53"/>
        <item x="57"/>
        <item x="24"/>
        <item x="72"/>
        <item x="40"/>
        <item x="59"/>
        <item x="27"/>
        <item x="52"/>
        <item x="22"/>
        <item x="46"/>
        <item x="28"/>
        <item x="0"/>
        <item x="12"/>
        <item x="48"/>
        <item x="29"/>
        <item x="76"/>
        <item x="20"/>
        <item x="23"/>
        <item x="17"/>
        <item x="3"/>
        <item x="26"/>
        <item x="49"/>
        <item x="16"/>
        <item x="60"/>
        <item x="75"/>
        <item x="77"/>
        <item x="39"/>
        <item x="2"/>
        <item x="31"/>
        <item x="51"/>
        <item x="7"/>
        <item x="19"/>
        <item x="71"/>
        <item x="43"/>
        <item x="70"/>
        <item x="25"/>
        <item x="44"/>
        <item x="55"/>
        <item x="5"/>
        <item x="38"/>
        <item x="54"/>
        <item x="68"/>
        <item x="6"/>
        <item x="8"/>
        <item x="21"/>
        <item x="37"/>
        <item t="default"/>
      </items>
    </pivotField>
    <pivotField axis="axisRow" dataField="1" showAll="0">
      <items count="6">
        <item x="1"/>
        <item x="2"/>
        <item x="3"/>
        <item x="0"/>
        <item x="4"/>
        <item t="default"/>
      </items>
    </pivotField>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1"/>
  </rowFields>
  <rowItems count="6">
    <i>
      <x/>
    </i>
    <i>
      <x v="1"/>
    </i>
    <i>
      <x v="2"/>
    </i>
    <i>
      <x v="3"/>
    </i>
    <i>
      <x v="4"/>
    </i>
    <i t="grand">
      <x/>
    </i>
  </rowItems>
  <colItems count="1">
    <i/>
  </colItems>
  <dataFields count="1">
    <dataField name="Count of Department"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2FC9A60-1371-4E53-BB93-8F82491515EA}" name="PivotTable10"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 firstHeaderRow="1" firstDataRow="1" firstDataCol="1"/>
  <pivotFields count="9">
    <pivotField numFmtId="14" showAll="0">
      <items count="79">
        <item x="61"/>
        <item x="13"/>
        <item x="10"/>
        <item x="34"/>
        <item x="63"/>
        <item x="47"/>
        <item x="30"/>
        <item x="41"/>
        <item x="36"/>
        <item x="62"/>
        <item x="65"/>
        <item x="73"/>
        <item x="35"/>
        <item x="1"/>
        <item x="33"/>
        <item x="4"/>
        <item x="11"/>
        <item x="66"/>
        <item x="9"/>
        <item x="56"/>
        <item x="69"/>
        <item x="64"/>
        <item x="58"/>
        <item x="14"/>
        <item x="74"/>
        <item x="18"/>
        <item x="50"/>
        <item x="42"/>
        <item x="45"/>
        <item x="67"/>
        <item x="15"/>
        <item x="32"/>
        <item x="53"/>
        <item x="57"/>
        <item x="24"/>
        <item x="72"/>
        <item x="40"/>
        <item x="59"/>
        <item x="27"/>
        <item x="52"/>
        <item x="22"/>
        <item x="46"/>
        <item x="28"/>
        <item x="0"/>
        <item x="12"/>
        <item x="48"/>
        <item x="29"/>
        <item x="76"/>
        <item x="20"/>
        <item x="23"/>
        <item x="17"/>
        <item x="3"/>
        <item x="26"/>
        <item x="49"/>
        <item x="16"/>
        <item x="60"/>
        <item x="75"/>
        <item x="77"/>
        <item x="39"/>
        <item x="2"/>
        <item x="31"/>
        <item x="51"/>
        <item x="7"/>
        <item x="19"/>
        <item x="71"/>
        <item x="43"/>
        <item x="70"/>
        <item x="25"/>
        <item x="44"/>
        <item x="55"/>
        <item x="5"/>
        <item x="38"/>
        <item x="54"/>
        <item x="68"/>
        <item x="6"/>
        <item x="8"/>
        <item x="21"/>
        <item x="37"/>
        <item t="default"/>
      </items>
    </pivotField>
    <pivotField axis="axisRow" showAll="0" sortType="descending">
      <items count="6">
        <item x="1"/>
        <item x="2"/>
        <item x="3"/>
        <item x="0"/>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1"/>
  </rowFields>
  <rowItems count="6">
    <i>
      <x v="1"/>
    </i>
    <i>
      <x/>
    </i>
    <i>
      <x v="3"/>
    </i>
    <i>
      <x v="2"/>
    </i>
    <i>
      <x v="4"/>
    </i>
    <i t="grand">
      <x/>
    </i>
  </rowItems>
  <colItems count="1">
    <i/>
  </colItems>
  <dataFields count="1">
    <dataField name="Average of Total Sales" fld="6" subtotal="average"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188541C-CA34-4A98-B4F2-CA77CB014F8B}" sourceName="Region">
  <pivotTables>
    <pivotTable tabId="11" name="PivotTable8"/>
  </pivotTables>
  <data>
    <tabular pivotCacheId="1598284924">
      <items count="4">
        <i x="1"/>
        <i x="3"/>
        <i x="2"/>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22F2CDC-323E-4D58-998F-E444CBB7AEE7}" cache="Slicer_Region" caption="Region"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B70F5F-33DF-43A3-BDC6-404AAC933CFF}">
  <dimension ref="A1:B9"/>
  <sheetViews>
    <sheetView workbookViewId="0">
      <selection activeCell="D12" sqref="D12"/>
    </sheetView>
  </sheetViews>
  <sheetFormatPr defaultRowHeight="15" x14ac:dyDescent="0.25"/>
  <cols>
    <col min="1" max="1" width="13.42578125" bestFit="1" customWidth="1"/>
    <col min="2" max="2" width="17.7109375" bestFit="1" customWidth="1"/>
  </cols>
  <sheetData>
    <row r="1" spans="1:2" x14ac:dyDescent="0.25">
      <c r="A1" s="2" t="s">
        <v>2</v>
      </c>
      <c r="B1" t="s">
        <v>11</v>
      </c>
    </row>
    <row r="3" spans="1:2" x14ac:dyDescent="0.25">
      <c r="A3" s="2" t="s">
        <v>21</v>
      </c>
      <c r="B3" t="s">
        <v>23</v>
      </c>
    </row>
    <row r="4" spans="1:2" x14ac:dyDescent="0.25">
      <c r="A4" s="5" t="s">
        <v>7</v>
      </c>
      <c r="B4" s="4">
        <v>5961.68</v>
      </c>
    </row>
    <row r="5" spans="1:2" x14ac:dyDescent="0.25">
      <c r="A5" s="3" t="s">
        <v>15</v>
      </c>
      <c r="B5" s="4">
        <v>18810.780000000002</v>
      </c>
    </row>
    <row r="6" spans="1:2" x14ac:dyDescent="0.25">
      <c r="A6" s="3" t="s">
        <v>20</v>
      </c>
      <c r="B6" s="4">
        <v>22053.079999999998</v>
      </c>
    </row>
    <row r="7" spans="1:2" x14ac:dyDescent="0.25">
      <c r="A7" s="3" t="s">
        <v>13</v>
      </c>
      <c r="B7" s="4">
        <v>28950.400000000001</v>
      </c>
    </row>
    <row r="8" spans="1:2" x14ac:dyDescent="0.25">
      <c r="A8" s="3" t="s">
        <v>10</v>
      </c>
      <c r="B8" s="4">
        <v>34938.230000000003</v>
      </c>
    </row>
    <row r="9" spans="1:2" x14ac:dyDescent="0.25">
      <c r="A9" s="3" t="s">
        <v>22</v>
      </c>
      <c r="B9" s="4">
        <v>110714.17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5C5178-E012-42C9-B17A-2999B5B19AA7}">
  <dimension ref="A3:B9"/>
  <sheetViews>
    <sheetView workbookViewId="0">
      <selection activeCell="A3" sqref="A3"/>
    </sheetView>
  </sheetViews>
  <sheetFormatPr defaultRowHeight="15" x14ac:dyDescent="0.25"/>
  <cols>
    <col min="1" max="1" width="13.42578125" bestFit="1" customWidth="1"/>
    <col min="2" max="2" width="17.7109375" bestFit="1" customWidth="1"/>
  </cols>
  <sheetData>
    <row r="3" spans="1:2" x14ac:dyDescent="0.25">
      <c r="A3" s="2" t="s">
        <v>21</v>
      </c>
      <c r="B3" t="s">
        <v>23</v>
      </c>
    </row>
    <row r="4" spans="1:2" x14ac:dyDescent="0.25">
      <c r="A4" s="3" t="s">
        <v>10</v>
      </c>
      <c r="B4" s="4">
        <v>121941.59000000003</v>
      </c>
    </row>
    <row r="5" spans="1:2" x14ac:dyDescent="0.25">
      <c r="A5" s="3" t="s">
        <v>13</v>
      </c>
      <c r="B5" s="4">
        <v>145499.88999999998</v>
      </c>
    </row>
    <row r="6" spans="1:2" x14ac:dyDescent="0.25">
      <c r="A6" s="3" t="s">
        <v>15</v>
      </c>
      <c r="B6" s="4">
        <v>69229.940000000017</v>
      </c>
    </row>
    <row r="7" spans="1:2" x14ac:dyDescent="0.25">
      <c r="A7" s="3" t="s">
        <v>7</v>
      </c>
      <c r="B7" s="4">
        <v>101801.87999999999</v>
      </c>
    </row>
    <row r="8" spans="1:2" x14ac:dyDescent="0.25">
      <c r="A8" s="3" t="s">
        <v>20</v>
      </c>
      <c r="B8" s="4">
        <v>96477.629999999976</v>
      </c>
    </row>
    <row r="9" spans="1:2" x14ac:dyDescent="0.25">
      <c r="A9" s="3" t="s">
        <v>22</v>
      </c>
      <c r="B9" s="4">
        <v>534950.92999999993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F3677E-0B75-452C-9581-2EBFA309332A}">
  <dimension ref="A3:B8"/>
  <sheetViews>
    <sheetView workbookViewId="0">
      <selection activeCell="B7" sqref="B7"/>
    </sheetView>
  </sheetViews>
  <sheetFormatPr defaultRowHeight="15" x14ac:dyDescent="0.25"/>
  <cols>
    <col min="1" max="1" width="13.42578125" bestFit="1" customWidth="1"/>
    <col min="2" max="2" width="17.7109375" bestFit="1" customWidth="1"/>
    <col min="3" max="4" width="10" bestFit="1" customWidth="1"/>
    <col min="5" max="5" width="11.28515625" bestFit="1" customWidth="1"/>
    <col min="6" max="79" width="10.140625" bestFit="1" customWidth="1"/>
    <col min="80" max="80" width="11.28515625" bestFit="1" customWidth="1"/>
  </cols>
  <sheetData>
    <row r="3" spans="1:2" x14ac:dyDescent="0.25">
      <c r="A3" s="2" t="s">
        <v>21</v>
      </c>
      <c r="B3" t="s">
        <v>23</v>
      </c>
    </row>
    <row r="4" spans="1:2" x14ac:dyDescent="0.25">
      <c r="A4" s="3" t="s">
        <v>11</v>
      </c>
      <c r="B4" s="4">
        <v>110714.17</v>
      </c>
    </row>
    <row r="5" spans="1:2" x14ac:dyDescent="0.25">
      <c r="A5" s="3" t="s">
        <v>18</v>
      </c>
      <c r="B5" s="4">
        <v>279433.77</v>
      </c>
    </row>
    <row r="6" spans="1:2" x14ac:dyDescent="0.25">
      <c r="A6" s="3" t="s">
        <v>16</v>
      </c>
      <c r="B6" s="4">
        <v>376988.71</v>
      </c>
    </row>
    <row r="7" spans="1:2" x14ac:dyDescent="0.25">
      <c r="A7" s="3" t="s">
        <v>8</v>
      </c>
      <c r="B7" s="4">
        <v>534950.92999999993</v>
      </c>
    </row>
    <row r="8" spans="1:2" x14ac:dyDescent="0.25">
      <c r="A8" s="3" t="s">
        <v>22</v>
      </c>
      <c r="B8" s="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1254D3-00B5-4BD5-8295-1E1BCC1ADF11}">
  <dimension ref="A3:B19"/>
  <sheetViews>
    <sheetView topLeftCell="A2" workbookViewId="0">
      <selection activeCell="A7" sqref="A7"/>
    </sheetView>
  </sheetViews>
  <sheetFormatPr defaultRowHeight="15" x14ac:dyDescent="0.25"/>
  <cols>
    <col min="1" max="1" width="13.42578125" bestFit="1" customWidth="1"/>
    <col min="2" max="2" width="17.7109375" bestFit="1" customWidth="1"/>
    <col min="3" max="3" width="10" bestFit="1" customWidth="1"/>
    <col min="4" max="4" width="9" bestFit="1" customWidth="1"/>
    <col min="5" max="5" width="10" bestFit="1" customWidth="1"/>
    <col min="6" max="6" width="9" bestFit="1" customWidth="1"/>
    <col min="7" max="7" width="11.28515625" bestFit="1" customWidth="1"/>
  </cols>
  <sheetData>
    <row r="3" spans="1:2" x14ac:dyDescent="0.25">
      <c r="A3" s="2" t="s">
        <v>21</v>
      </c>
      <c r="B3" t="s">
        <v>23</v>
      </c>
    </row>
    <row r="4" spans="1:2" x14ac:dyDescent="0.25">
      <c r="A4" s="3" t="s">
        <v>10</v>
      </c>
      <c r="B4" s="7">
        <v>64405.509999999995</v>
      </c>
    </row>
    <row r="5" spans="1:2" x14ac:dyDescent="0.25">
      <c r="A5" s="6" t="s">
        <v>8</v>
      </c>
      <c r="B5" s="7">
        <v>29467.279999999999</v>
      </c>
    </row>
    <row r="6" spans="1:2" x14ac:dyDescent="0.25">
      <c r="A6" s="6" t="s">
        <v>11</v>
      </c>
      <c r="B6" s="7">
        <v>34938.229999999996</v>
      </c>
    </row>
    <row r="7" spans="1:2" x14ac:dyDescent="0.25">
      <c r="A7" s="3" t="s">
        <v>13</v>
      </c>
      <c r="B7" s="7">
        <v>93646.330000000016</v>
      </c>
    </row>
    <row r="8" spans="1:2" x14ac:dyDescent="0.25">
      <c r="A8" s="6" t="s">
        <v>8</v>
      </c>
      <c r="B8" s="7">
        <v>45970.570000000007</v>
      </c>
    </row>
    <row r="9" spans="1:2" x14ac:dyDescent="0.25">
      <c r="A9" s="6" t="s">
        <v>18</v>
      </c>
      <c r="B9" s="7">
        <v>47675.76</v>
      </c>
    </row>
    <row r="10" spans="1:2" x14ac:dyDescent="0.25">
      <c r="A10" s="3" t="s">
        <v>15</v>
      </c>
      <c r="B10" s="7">
        <v>50024.130000000005</v>
      </c>
    </row>
    <row r="11" spans="1:2" x14ac:dyDescent="0.25">
      <c r="A11" s="6" t="s">
        <v>18</v>
      </c>
      <c r="B11" s="7">
        <v>31213.350000000002</v>
      </c>
    </row>
    <row r="12" spans="1:2" x14ac:dyDescent="0.25">
      <c r="A12" s="6" t="s">
        <v>11</v>
      </c>
      <c r="B12" s="7">
        <v>18810.780000000002</v>
      </c>
    </row>
    <row r="13" spans="1:2" x14ac:dyDescent="0.25">
      <c r="A13" s="3" t="s">
        <v>7</v>
      </c>
      <c r="B13" s="7">
        <v>80883.180000000008</v>
      </c>
    </row>
    <row r="14" spans="1:2" x14ac:dyDescent="0.25">
      <c r="A14" s="6" t="s">
        <v>8</v>
      </c>
      <c r="B14" s="7">
        <v>43635.37999999999</v>
      </c>
    </row>
    <row r="15" spans="1:2" x14ac:dyDescent="0.25">
      <c r="A15" s="6" t="s">
        <v>18</v>
      </c>
      <c r="B15" s="7">
        <v>37247.800000000017</v>
      </c>
    </row>
    <row r="16" spans="1:2" x14ac:dyDescent="0.25">
      <c r="A16" s="3" t="s">
        <v>20</v>
      </c>
      <c r="B16" s="7">
        <v>50950.61</v>
      </c>
    </row>
    <row r="17" spans="1:2" x14ac:dyDescent="0.25">
      <c r="A17" s="6" t="s">
        <v>8</v>
      </c>
      <c r="B17" s="7">
        <v>26711.31</v>
      </c>
    </row>
    <row r="18" spans="1:2" x14ac:dyDescent="0.25">
      <c r="A18" s="6" t="s">
        <v>16</v>
      </c>
      <c r="B18" s="7">
        <v>24239.300000000003</v>
      </c>
    </row>
    <row r="19" spans="1:2" x14ac:dyDescent="0.25">
      <c r="A19" s="3" t="s">
        <v>22</v>
      </c>
      <c r="B19" s="7">
        <v>339909.76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D97545-6FFC-4007-B6A9-2B5B05F71540}">
  <dimension ref="A3:C8"/>
  <sheetViews>
    <sheetView workbookViewId="0">
      <selection activeCell="B4" sqref="B4"/>
    </sheetView>
  </sheetViews>
  <sheetFormatPr defaultRowHeight="15" x14ac:dyDescent="0.25"/>
  <cols>
    <col min="1" max="1" width="13.42578125" bestFit="1" customWidth="1"/>
    <col min="2" max="2" width="17.7109375" bestFit="1" customWidth="1"/>
  </cols>
  <sheetData>
    <row r="3" spans="1:3" x14ac:dyDescent="0.25">
      <c r="A3" s="2" t="s">
        <v>21</v>
      </c>
      <c r="B3" t="s">
        <v>23</v>
      </c>
    </row>
    <row r="4" spans="1:3" x14ac:dyDescent="0.25">
      <c r="A4" s="3" t="s">
        <v>18</v>
      </c>
      <c r="B4" s="7">
        <v>168719.6</v>
      </c>
      <c r="C4">
        <f>GETPIVOTDATA("Total Sales",$A$3,"Region","North")-GETPIVOTDATA("Total Sales",$A$3,"Region","South")</f>
        <v>71164.659999999989</v>
      </c>
    </row>
    <row r="5" spans="1:3" x14ac:dyDescent="0.25">
      <c r="A5" s="3" t="s">
        <v>8</v>
      </c>
      <c r="B5" s="7">
        <v>157962.21999999994</v>
      </c>
    </row>
    <row r="6" spans="1:3" x14ac:dyDescent="0.25">
      <c r="A6" s="3" t="s">
        <v>11</v>
      </c>
      <c r="B6" s="7">
        <v>110714.17</v>
      </c>
    </row>
    <row r="7" spans="1:3" x14ac:dyDescent="0.25">
      <c r="A7" s="3" t="s">
        <v>16</v>
      </c>
      <c r="B7" s="7">
        <v>97554.940000000017</v>
      </c>
    </row>
    <row r="8" spans="1:3" x14ac:dyDescent="0.25">
      <c r="A8" s="3" t="s">
        <v>22</v>
      </c>
      <c r="B8" s="7">
        <v>534950.92999999993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EC4709-F05E-435C-821A-A08D69B39C1F}">
  <dimension ref="A3:B28"/>
  <sheetViews>
    <sheetView workbookViewId="0">
      <selection activeCell="C20" sqref="C20"/>
    </sheetView>
  </sheetViews>
  <sheetFormatPr defaultRowHeight="15" x14ac:dyDescent="0.25"/>
  <cols>
    <col min="1" max="1" width="13.42578125" bestFit="1" customWidth="1"/>
    <col min="2" max="2" width="17.7109375" bestFit="1" customWidth="1"/>
  </cols>
  <sheetData>
    <row r="3" spans="1:2" x14ac:dyDescent="0.25">
      <c r="A3" s="2" t="s">
        <v>21</v>
      </c>
      <c r="B3" t="s">
        <v>23</v>
      </c>
    </row>
    <row r="4" spans="1:2" x14ac:dyDescent="0.25">
      <c r="A4" s="3" t="s">
        <v>11</v>
      </c>
      <c r="B4" s="8">
        <v>110714.17</v>
      </c>
    </row>
    <row r="5" spans="1:2" x14ac:dyDescent="0.25">
      <c r="A5" s="6" t="s">
        <v>10</v>
      </c>
      <c r="B5" s="8">
        <v>34938.229999999996</v>
      </c>
    </row>
    <row r="6" spans="1:2" x14ac:dyDescent="0.25">
      <c r="A6" s="6" t="s">
        <v>13</v>
      </c>
      <c r="B6" s="8">
        <v>28950.400000000001</v>
      </c>
    </row>
    <row r="7" spans="1:2" x14ac:dyDescent="0.25">
      <c r="A7" s="6" t="s">
        <v>20</v>
      </c>
      <c r="B7" s="8">
        <v>22053.08</v>
      </c>
    </row>
    <row r="8" spans="1:2" x14ac:dyDescent="0.25">
      <c r="A8" s="6" t="s">
        <v>15</v>
      </c>
      <c r="B8" s="8">
        <v>18810.780000000002</v>
      </c>
    </row>
    <row r="9" spans="1:2" x14ac:dyDescent="0.25">
      <c r="A9" s="6" t="s">
        <v>7</v>
      </c>
      <c r="B9" s="8">
        <v>5961.68</v>
      </c>
    </row>
    <row r="10" spans="1:2" x14ac:dyDescent="0.25">
      <c r="A10" s="3" t="s">
        <v>18</v>
      </c>
      <c r="B10" s="8">
        <v>168719.60000000003</v>
      </c>
    </row>
    <row r="11" spans="1:2" x14ac:dyDescent="0.25">
      <c r="A11" s="6" t="s">
        <v>13</v>
      </c>
      <c r="B11" s="8">
        <v>47675.76</v>
      </c>
    </row>
    <row r="12" spans="1:2" x14ac:dyDescent="0.25">
      <c r="A12" s="6" t="s">
        <v>7</v>
      </c>
      <c r="B12" s="8">
        <v>37247.800000000017</v>
      </c>
    </row>
    <row r="13" spans="1:2" x14ac:dyDescent="0.25">
      <c r="A13" s="6" t="s">
        <v>15</v>
      </c>
      <c r="B13" s="8">
        <v>31213.350000000002</v>
      </c>
    </row>
    <row r="14" spans="1:2" x14ac:dyDescent="0.25">
      <c r="A14" s="6" t="s">
        <v>10</v>
      </c>
      <c r="B14" s="8">
        <v>29108.75</v>
      </c>
    </row>
    <row r="15" spans="1:2" x14ac:dyDescent="0.25">
      <c r="A15" s="6" t="s">
        <v>20</v>
      </c>
      <c r="B15" s="8">
        <v>23473.940000000006</v>
      </c>
    </row>
    <row r="16" spans="1:2" x14ac:dyDescent="0.25">
      <c r="A16" s="3" t="s">
        <v>16</v>
      </c>
      <c r="B16" s="8">
        <v>97554.94</v>
      </c>
    </row>
    <row r="17" spans="1:2" x14ac:dyDescent="0.25">
      <c r="A17" s="6" t="s">
        <v>10</v>
      </c>
      <c r="B17" s="8">
        <v>28427.33</v>
      </c>
    </row>
    <row r="18" spans="1:2" x14ac:dyDescent="0.25">
      <c r="A18" s="6" t="s">
        <v>20</v>
      </c>
      <c r="B18" s="8">
        <v>24239.300000000003</v>
      </c>
    </row>
    <row r="19" spans="1:2" x14ac:dyDescent="0.25">
      <c r="A19" s="6" t="s">
        <v>13</v>
      </c>
      <c r="B19" s="8">
        <v>22903.16</v>
      </c>
    </row>
    <row r="20" spans="1:2" x14ac:dyDescent="0.25">
      <c r="A20" s="6" t="s">
        <v>7</v>
      </c>
      <c r="B20" s="8">
        <v>14957.02</v>
      </c>
    </row>
    <row r="21" spans="1:2" x14ac:dyDescent="0.25">
      <c r="A21" s="6" t="s">
        <v>15</v>
      </c>
      <c r="B21" s="8">
        <v>7028.1299999999992</v>
      </c>
    </row>
    <row r="22" spans="1:2" x14ac:dyDescent="0.25">
      <c r="A22" s="3" t="s">
        <v>8</v>
      </c>
      <c r="B22" s="8">
        <v>157962.21999999997</v>
      </c>
    </row>
    <row r="23" spans="1:2" x14ac:dyDescent="0.25">
      <c r="A23" s="6" t="s">
        <v>13</v>
      </c>
      <c r="B23" s="8">
        <v>45970.570000000007</v>
      </c>
    </row>
    <row r="24" spans="1:2" x14ac:dyDescent="0.25">
      <c r="A24" s="6" t="s">
        <v>7</v>
      </c>
      <c r="B24" s="8">
        <v>43635.37999999999</v>
      </c>
    </row>
    <row r="25" spans="1:2" x14ac:dyDescent="0.25">
      <c r="A25" s="6" t="s">
        <v>10</v>
      </c>
      <c r="B25" s="8">
        <v>29467.279999999999</v>
      </c>
    </row>
    <row r="26" spans="1:2" x14ac:dyDescent="0.25">
      <c r="A26" s="6" t="s">
        <v>20</v>
      </c>
      <c r="B26" s="8">
        <v>26711.31</v>
      </c>
    </row>
    <row r="27" spans="1:2" x14ac:dyDescent="0.25">
      <c r="A27" s="6" t="s">
        <v>15</v>
      </c>
      <c r="B27" s="8">
        <v>12177.68</v>
      </c>
    </row>
    <row r="28" spans="1:2" x14ac:dyDescent="0.25">
      <c r="A28" s="3" t="s">
        <v>22</v>
      </c>
      <c r="B28" s="8">
        <v>534950.93000000005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8F7018-0D8D-4943-B9DA-4CC6A3C0C85F}">
  <dimension ref="A3:E13"/>
  <sheetViews>
    <sheetView workbookViewId="0">
      <selection activeCell="H13" sqref="H13"/>
    </sheetView>
  </sheetViews>
  <sheetFormatPr defaultRowHeight="15" x14ac:dyDescent="0.25"/>
  <cols>
    <col min="1" max="1" width="13.42578125" bestFit="1" customWidth="1"/>
    <col min="2" max="2" width="17.85546875" bestFit="1" customWidth="1"/>
    <col min="3" max="3" width="17.5703125" bestFit="1" customWidth="1"/>
    <col min="4" max="4" width="17.7109375" bestFit="1" customWidth="1"/>
  </cols>
  <sheetData>
    <row r="3" spans="1:5" x14ac:dyDescent="0.25">
      <c r="A3" s="2" t="s">
        <v>21</v>
      </c>
      <c r="B3" t="s">
        <v>24</v>
      </c>
      <c r="C3" t="s">
        <v>25</v>
      </c>
    </row>
    <row r="4" spans="1:5" x14ac:dyDescent="0.25">
      <c r="A4" s="3" t="s">
        <v>10</v>
      </c>
      <c r="B4" s="4">
        <v>7692.53</v>
      </c>
      <c r="C4" s="4">
        <v>199.35</v>
      </c>
      <c r="D4">
        <f>B4-C4</f>
        <v>7493.1799999999994</v>
      </c>
    </row>
    <row r="5" spans="1:5" x14ac:dyDescent="0.25">
      <c r="A5" s="3" t="s">
        <v>13</v>
      </c>
      <c r="B5" s="4">
        <v>9039.25</v>
      </c>
      <c r="C5" s="4">
        <v>130.35</v>
      </c>
      <c r="D5">
        <f t="shared" ref="D5:D9" si="0">B5-C5</f>
        <v>8908.9</v>
      </c>
    </row>
    <row r="6" spans="1:5" x14ac:dyDescent="0.25">
      <c r="A6" s="3" t="s">
        <v>15</v>
      </c>
      <c r="B6" s="4">
        <v>6997.65</v>
      </c>
      <c r="C6" s="4">
        <v>350.64</v>
      </c>
      <c r="D6" s="9">
        <f t="shared" si="0"/>
        <v>6647.0099999999993</v>
      </c>
    </row>
    <row r="7" spans="1:5" x14ac:dyDescent="0.25">
      <c r="A7" s="3" t="s">
        <v>7</v>
      </c>
      <c r="B7" s="4">
        <v>8582.4</v>
      </c>
      <c r="C7" s="4">
        <v>397.85</v>
      </c>
      <c r="D7">
        <f t="shared" si="0"/>
        <v>8184.5499999999993</v>
      </c>
      <c r="E7" t="s">
        <v>26</v>
      </c>
    </row>
    <row r="8" spans="1:5" x14ac:dyDescent="0.25">
      <c r="A8" s="3" t="s">
        <v>20</v>
      </c>
      <c r="B8" s="4">
        <v>7358.04</v>
      </c>
      <c r="C8" s="4">
        <v>123.88</v>
      </c>
      <c r="D8">
        <f t="shared" si="0"/>
        <v>7234.16</v>
      </c>
    </row>
    <row r="9" spans="1:5" x14ac:dyDescent="0.25">
      <c r="A9" s="3" t="s">
        <v>22</v>
      </c>
      <c r="B9" s="4">
        <v>9039.25</v>
      </c>
      <c r="C9" s="4">
        <v>123.88</v>
      </c>
    </row>
    <row r="13" spans="1:5" x14ac:dyDescent="0.25">
      <c r="C13" t="s">
        <v>26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4CB5BF-4D1F-40C8-AB1C-91632BAE67BE}">
  <dimension ref="A3:B9"/>
  <sheetViews>
    <sheetView workbookViewId="0">
      <selection activeCell="B5" sqref="B5"/>
    </sheetView>
  </sheetViews>
  <sheetFormatPr defaultRowHeight="15" x14ac:dyDescent="0.25"/>
  <cols>
    <col min="1" max="1" width="13.42578125" bestFit="1" customWidth="1"/>
    <col min="2" max="2" width="17.7109375" bestFit="1" customWidth="1"/>
  </cols>
  <sheetData>
    <row r="3" spans="1:2" x14ac:dyDescent="0.25">
      <c r="A3" s="2" t="s">
        <v>21</v>
      </c>
      <c r="B3" t="s">
        <v>23</v>
      </c>
    </row>
    <row r="4" spans="1:2" x14ac:dyDescent="0.25">
      <c r="A4" s="3" t="s">
        <v>13</v>
      </c>
      <c r="B4" s="4">
        <v>45970.57</v>
      </c>
    </row>
    <row r="5" spans="1:2" x14ac:dyDescent="0.25">
      <c r="A5" s="3" t="s">
        <v>7</v>
      </c>
      <c r="B5" s="4">
        <v>43635.380000000005</v>
      </c>
    </row>
    <row r="6" spans="1:2" x14ac:dyDescent="0.25">
      <c r="A6" s="3" t="s">
        <v>10</v>
      </c>
      <c r="B6" s="4">
        <v>29467.279999999999</v>
      </c>
    </row>
    <row r="7" spans="1:2" x14ac:dyDescent="0.25">
      <c r="A7" s="3" t="s">
        <v>20</v>
      </c>
      <c r="B7" s="4">
        <v>26711.309999999998</v>
      </c>
    </row>
    <row r="8" spans="1:2" x14ac:dyDescent="0.25">
      <c r="A8" s="3" t="s">
        <v>15</v>
      </c>
      <c r="B8" s="4">
        <v>12177.680000000002</v>
      </c>
    </row>
    <row r="9" spans="1:2" x14ac:dyDescent="0.25">
      <c r="A9" s="3" t="s">
        <v>22</v>
      </c>
      <c r="B9" s="4">
        <v>157962.22000000003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21016D-CF39-4D58-B177-59D888FF682F}">
  <dimension ref="A3:B9"/>
  <sheetViews>
    <sheetView workbookViewId="0">
      <selection activeCell="A3" sqref="A3"/>
    </sheetView>
  </sheetViews>
  <sheetFormatPr defaultRowHeight="15" x14ac:dyDescent="0.25"/>
  <cols>
    <col min="1" max="1" width="13.42578125" bestFit="1" customWidth="1"/>
    <col min="2" max="2" width="20.42578125" bestFit="1" customWidth="1"/>
  </cols>
  <sheetData>
    <row r="3" spans="1:2" x14ac:dyDescent="0.25">
      <c r="A3" s="2" t="s">
        <v>21</v>
      </c>
      <c r="B3" t="s">
        <v>27</v>
      </c>
    </row>
    <row r="4" spans="1:2" x14ac:dyDescent="0.25">
      <c r="A4" s="3" t="s">
        <v>10</v>
      </c>
      <c r="B4" s="4">
        <v>42</v>
      </c>
    </row>
    <row r="5" spans="1:2" x14ac:dyDescent="0.25">
      <c r="A5" s="3" t="s">
        <v>13</v>
      </c>
      <c r="B5" s="4">
        <v>47</v>
      </c>
    </row>
    <row r="6" spans="1:2" x14ac:dyDescent="0.25">
      <c r="A6" s="3" t="s">
        <v>15</v>
      </c>
      <c r="B6" s="4">
        <v>30</v>
      </c>
    </row>
    <row r="7" spans="1:2" x14ac:dyDescent="0.25">
      <c r="A7" s="3" t="s">
        <v>7</v>
      </c>
      <c r="B7" s="4">
        <v>36</v>
      </c>
    </row>
    <row r="8" spans="1:2" x14ac:dyDescent="0.25">
      <c r="A8" s="3" t="s">
        <v>20</v>
      </c>
      <c r="B8" s="4">
        <v>45</v>
      </c>
    </row>
    <row r="9" spans="1:2" x14ac:dyDescent="0.25">
      <c r="A9" s="3" t="s">
        <v>22</v>
      </c>
      <c r="B9" s="4">
        <v>200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490AF9-714D-4C63-9243-AD0BF1DD452D}">
  <dimension ref="A3:B9"/>
  <sheetViews>
    <sheetView tabSelected="1" workbookViewId="0">
      <selection activeCell="G6" sqref="G6"/>
    </sheetView>
  </sheetViews>
  <sheetFormatPr defaultRowHeight="15" x14ac:dyDescent="0.25"/>
  <cols>
    <col min="1" max="1" width="13.42578125" bestFit="1" customWidth="1"/>
    <col min="2" max="2" width="20.85546875" bestFit="1" customWidth="1"/>
  </cols>
  <sheetData>
    <row r="3" spans="1:2" x14ac:dyDescent="0.25">
      <c r="A3" s="2" t="s">
        <v>21</v>
      </c>
      <c r="B3" t="s">
        <v>28</v>
      </c>
    </row>
    <row r="4" spans="1:2" x14ac:dyDescent="0.25">
      <c r="A4" s="3" t="s">
        <v>13</v>
      </c>
      <c r="B4" s="4">
        <v>3095.7423404255314</v>
      </c>
    </row>
    <row r="5" spans="1:2" x14ac:dyDescent="0.25">
      <c r="A5" s="3" t="s">
        <v>10</v>
      </c>
      <c r="B5" s="4">
        <v>2903.3711904761913</v>
      </c>
    </row>
    <row r="6" spans="1:2" x14ac:dyDescent="0.25">
      <c r="A6" s="3" t="s">
        <v>7</v>
      </c>
      <c r="B6" s="4">
        <v>2827.83</v>
      </c>
    </row>
    <row r="7" spans="1:2" x14ac:dyDescent="0.25">
      <c r="A7" s="3" t="s">
        <v>15</v>
      </c>
      <c r="B7" s="4">
        <v>2307.664666666667</v>
      </c>
    </row>
    <row r="8" spans="1:2" x14ac:dyDescent="0.25">
      <c r="A8" s="3" t="s">
        <v>20</v>
      </c>
      <c r="B8" s="4">
        <v>2143.9473333333326</v>
      </c>
    </row>
    <row r="9" spans="1:2" x14ac:dyDescent="0.25">
      <c r="A9" s="3" t="s">
        <v>22</v>
      </c>
      <c r="B9" s="4">
        <v>2674.7546500000003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4A623D-ACAB-4AB3-96A6-2264DA055F42}">
  <dimension ref="A1:L201"/>
  <sheetViews>
    <sheetView workbookViewId="0">
      <selection activeCell="G3" sqref="G3:G200"/>
    </sheetView>
  </sheetViews>
  <sheetFormatPr defaultRowHeight="15" x14ac:dyDescent="0.25"/>
  <cols>
    <col min="1" max="1" width="10.140625" bestFit="1" customWidth="1"/>
    <col min="2" max="2" width="13.5703125" bestFit="1" customWidth="1"/>
    <col min="3" max="3" width="9.28515625" bestFit="1" customWidth="1"/>
    <col min="4" max="4" width="10.140625" bestFit="1" customWidth="1"/>
    <col min="5" max="5" width="12.140625" bestFit="1" customWidth="1"/>
    <col min="6" max="6" width="11.7109375" bestFit="1" customWidth="1"/>
    <col min="7" max="7" width="12.85546875" bestFit="1" customWidth="1"/>
    <col min="8" max="8" width="9.7109375" bestFit="1" customWidth="1"/>
  </cols>
  <sheetData>
    <row r="1" spans="1:12" x14ac:dyDescent="0.25">
      <c r="A1" t="s">
        <v>0</v>
      </c>
      <c r="B1" t="s">
        <v>1</v>
      </c>
      <c r="C1" t="s">
        <v>2</v>
      </c>
      <c r="D1" t="s">
        <v>3</v>
      </c>
      <c r="E1" t="s">
        <v>4</v>
      </c>
      <c r="F1" t="s">
        <v>5</v>
      </c>
      <c r="G1" t="s">
        <v>6</v>
      </c>
    </row>
    <row r="2" spans="1:12" x14ac:dyDescent="0.25">
      <c r="A2" s="1">
        <v>45343</v>
      </c>
      <c r="B2" t="s">
        <v>7</v>
      </c>
      <c r="C2" t="s">
        <v>8</v>
      </c>
      <c r="D2" t="s">
        <v>9</v>
      </c>
      <c r="E2">
        <v>16</v>
      </c>
      <c r="F2">
        <v>472.25</v>
      </c>
      <c r="G2">
        <v>7556</v>
      </c>
      <c r="I2" t="s">
        <v>7</v>
      </c>
      <c r="J2">
        <f>_xlfn.MINIFS(G$2:G$201,B$2:B$201,I2)</f>
        <v>397.85</v>
      </c>
      <c r="K2">
        <f>_xlfn.MAXIFS(G$2:G$201,B$2:B$201,I2)</f>
        <v>8582.4</v>
      </c>
      <c r="L2">
        <f>K2-J2</f>
        <v>8184.5499999999993</v>
      </c>
    </row>
    <row r="3" spans="1:12" x14ac:dyDescent="0.25">
      <c r="A3" s="1">
        <v>45306</v>
      </c>
      <c r="B3" t="s">
        <v>10</v>
      </c>
      <c r="C3" t="s">
        <v>11</v>
      </c>
      <c r="D3" t="s">
        <v>12</v>
      </c>
      <c r="E3">
        <v>15</v>
      </c>
      <c r="F3">
        <v>131.55000000000001</v>
      </c>
      <c r="G3">
        <v>1973.25</v>
      </c>
      <c r="I3" t="s">
        <v>10</v>
      </c>
      <c r="J3">
        <f>_xlfn.MINIFS(G$2:G$201,B$2:B$201,I3)</f>
        <v>199.35</v>
      </c>
      <c r="K3">
        <f>_xlfn.MAXIFS(G$2:G$201,B$2:B$201,I3)</f>
        <v>7692.53</v>
      </c>
      <c r="L3">
        <f>K3-J3</f>
        <v>7493.1799999999994</v>
      </c>
    </row>
    <row r="4" spans="1:12" x14ac:dyDescent="0.25">
      <c r="A4" s="1">
        <v>45363</v>
      </c>
      <c r="B4" t="s">
        <v>13</v>
      </c>
      <c r="C4" t="s">
        <v>11</v>
      </c>
      <c r="D4" t="s">
        <v>14</v>
      </c>
      <c r="E4">
        <v>15</v>
      </c>
      <c r="F4">
        <v>79.92</v>
      </c>
      <c r="G4">
        <v>1198.8</v>
      </c>
      <c r="I4" t="s">
        <v>13</v>
      </c>
      <c r="J4">
        <f>_xlfn.MINIFS(G$2:G$201,B$2:B$201,I4)</f>
        <v>130.35</v>
      </c>
      <c r="K4">
        <f>_xlfn.MAXIFS(G$2:G$201,B$2:B$201,I4)</f>
        <v>9039.25</v>
      </c>
      <c r="L4">
        <f>K4-J4</f>
        <v>8908.9</v>
      </c>
    </row>
    <row r="5" spans="1:12" x14ac:dyDescent="0.25">
      <c r="A5" s="1">
        <v>45352</v>
      </c>
      <c r="B5" t="s">
        <v>15</v>
      </c>
      <c r="C5" t="s">
        <v>8</v>
      </c>
      <c r="D5" t="s">
        <v>12</v>
      </c>
      <c r="E5">
        <v>5</v>
      </c>
      <c r="F5">
        <v>383.5</v>
      </c>
      <c r="G5">
        <v>1917.5</v>
      </c>
      <c r="I5" t="s">
        <v>15</v>
      </c>
      <c r="J5">
        <f>_xlfn.MINIFS(G$2:G$201,B$2:B$201,I5)</f>
        <v>350.64</v>
      </c>
      <c r="K5">
        <f>_xlfn.MAXIFS(G$2:G$201,B$2:B$201,I5)</f>
        <v>6997.65</v>
      </c>
      <c r="L5" s="9">
        <f>K5-J5</f>
        <v>6647.0099999999993</v>
      </c>
    </row>
    <row r="6" spans="1:12" x14ac:dyDescent="0.25">
      <c r="A6" s="1">
        <v>45312</v>
      </c>
      <c r="B6" t="s">
        <v>13</v>
      </c>
      <c r="C6" t="s">
        <v>16</v>
      </c>
      <c r="D6" t="s">
        <v>12</v>
      </c>
      <c r="E6">
        <v>14</v>
      </c>
      <c r="F6">
        <v>308.51</v>
      </c>
      <c r="G6">
        <v>4319.1400000000003</v>
      </c>
      <c r="I6" t="s">
        <v>20</v>
      </c>
      <c r="J6">
        <f>_xlfn.MINIFS(G$2:G$201,B$2:B$201,I6)</f>
        <v>123.88</v>
      </c>
      <c r="K6">
        <f>_xlfn.MAXIFS(G$2:G$201,B$2:B$201,I6)</f>
        <v>7358.04</v>
      </c>
      <c r="L6">
        <f>K6-J6</f>
        <v>7234.16</v>
      </c>
    </row>
    <row r="7" spans="1:12" x14ac:dyDescent="0.25">
      <c r="A7" s="1">
        <v>45374</v>
      </c>
      <c r="B7" t="s">
        <v>13</v>
      </c>
      <c r="C7" t="s">
        <v>11</v>
      </c>
      <c r="D7" t="s">
        <v>9</v>
      </c>
      <c r="E7">
        <v>2</v>
      </c>
      <c r="F7">
        <v>428.82</v>
      </c>
      <c r="G7">
        <v>857.64</v>
      </c>
    </row>
    <row r="8" spans="1:12" x14ac:dyDescent="0.25">
      <c r="A8" s="1">
        <v>45378</v>
      </c>
      <c r="B8" t="s">
        <v>10</v>
      </c>
      <c r="C8" t="s">
        <v>16</v>
      </c>
      <c r="D8" t="s">
        <v>17</v>
      </c>
      <c r="E8">
        <v>11</v>
      </c>
      <c r="F8">
        <v>112.9</v>
      </c>
      <c r="G8">
        <v>1241.9000000000001</v>
      </c>
    </row>
    <row r="9" spans="1:12" x14ac:dyDescent="0.25">
      <c r="A9" s="1">
        <v>45366</v>
      </c>
      <c r="B9" t="s">
        <v>13</v>
      </c>
      <c r="C9" t="s">
        <v>18</v>
      </c>
      <c r="D9" t="s">
        <v>19</v>
      </c>
      <c r="E9">
        <v>19</v>
      </c>
      <c r="F9">
        <v>407.87</v>
      </c>
      <c r="G9">
        <v>7749.53</v>
      </c>
    </row>
    <row r="10" spans="1:12" x14ac:dyDescent="0.25">
      <c r="A10" s="1">
        <v>45366</v>
      </c>
      <c r="B10" t="s">
        <v>7</v>
      </c>
      <c r="C10" t="s">
        <v>16</v>
      </c>
      <c r="D10" t="s">
        <v>19</v>
      </c>
      <c r="E10">
        <v>7</v>
      </c>
      <c r="F10">
        <v>140.72999999999999</v>
      </c>
      <c r="G10">
        <v>985.11</v>
      </c>
    </row>
    <row r="11" spans="1:12" x14ac:dyDescent="0.25">
      <c r="A11" s="1">
        <v>45379</v>
      </c>
      <c r="B11" t="s">
        <v>7</v>
      </c>
      <c r="C11" t="s">
        <v>18</v>
      </c>
      <c r="D11" t="s">
        <v>9</v>
      </c>
      <c r="E11">
        <v>6</v>
      </c>
      <c r="F11">
        <v>123.65</v>
      </c>
      <c r="G11">
        <v>741.9</v>
      </c>
    </row>
    <row r="12" spans="1:12" x14ac:dyDescent="0.25">
      <c r="A12" s="1">
        <v>45315</v>
      </c>
      <c r="B12" t="s">
        <v>20</v>
      </c>
      <c r="C12" t="s">
        <v>16</v>
      </c>
      <c r="D12" t="s">
        <v>12</v>
      </c>
      <c r="E12">
        <v>2</v>
      </c>
      <c r="F12">
        <v>123.92</v>
      </c>
      <c r="G12">
        <v>247.84</v>
      </c>
    </row>
    <row r="13" spans="1:12" x14ac:dyDescent="0.25">
      <c r="A13" s="1">
        <v>45294</v>
      </c>
      <c r="B13" t="s">
        <v>15</v>
      </c>
      <c r="C13" t="s">
        <v>11</v>
      </c>
      <c r="D13" t="s">
        <v>14</v>
      </c>
      <c r="E13">
        <v>6</v>
      </c>
      <c r="F13">
        <v>416.56</v>
      </c>
      <c r="G13">
        <v>2499.36</v>
      </c>
    </row>
    <row r="14" spans="1:12" x14ac:dyDescent="0.25">
      <c r="A14" s="1">
        <v>45313</v>
      </c>
      <c r="B14" t="s">
        <v>13</v>
      </c>
      <c r="C14" t="s">
        <v>11</v>
      </c>
      <c r="D14" t="s">
        <v>12</v>
      </c>
      <c r="E14">
        <v>18</v>
      </c>
      <c r="F14">
        <v>349.34</v>
      </c>
      <c r="G14">
        <v>6288.12</v>
      </c>
    </row>
    <row r="15" spans="1:12" x14ac:dyDescent="0.25">
      <c r="A15" s="1">
        <v>45344</v>
      </c>
      <c r="B15" t="s">
        <v>13</v>
      </c>
      <c r="C15" t="s">
        <v>18</v>
      </c>
      <c r="D15" t="s">
        <v>9</v>
      </c>
      <c r="E15">
        <v>2</v>
      </c>
      <c r="F15">
        <v>285.38</v>
      </c>
      <c r="G15">
        <v>570.76</v>
      </c>
    </row>
    <row r="16" spans="1:12" x14ac:dyDescent="0.25">
      <c r="A16" s="1">
        <v>45293</v>
      </c>
      <c r="B16" t="s">
        <v>10</v>
      </c>
      <c r="C16" t="s">
        <v>8</v>
      </c>
      <c r="D16" t="s">
        <v>19</v>
      </c>
      <c r="E16">
        <v>18</v>
      </c>
      <c r="F16">
        <v>211.47</v>
      </c>
      <c r="G16">
        <v>3806.46</v>
      </c>
    </row>
    <row r="17" spans="1:7" x14ac:dyDescent="0.25">
      <c r="A17" s="1">
        <v>45379</v>
      </c>
      <c r="B17" t="s">
        <v>7</v>
      </c>
      <c r="C17" t="s">
        <v>18</v>
      </c>
      <c r="D17" t="s">
        <v>12</v>
      </c>
      <c r="E17">
        <v>15</v>
      </c>
      <c r="F17">
        <v>444.74</v>
      </c>
      <c r="G17">
        <v>6671.1</v>
      </c>
    </row>
    <row r="18" spans="1:7" x14ac:dyDescent="0.25">
      <c r="A18" s="1">
        <v>45321</v>
      </c>
      <c r="B18" t="s">
        <v>15</v>
      </c>
      <c r="C18" t="s">
        <v>18</v>
      </c>
      <c r="D18" t="s">
        <v>19</v>
      </c>
      <c r="E18">
        <v>19</v>
      </c>
      <c r="F18">
        <v>226.6</v>
      </c>
      <c r="G18">
        <v>4305.3999999999996</v>
      </c>
    </row>
    <row r="19" spans="1:7" x14ac:dyDescent="0.25">
      <c r="A19" s="1">
        <v>45329</v>
      </c>
      <c r="B19" t="s">
        <v>20</v>
      </c>
      <c r="C19" t="s">
        <v>16</v>
      </c>
      <c r="D19" t="s">
        <v>14</v>
      </c>
      <c r="E19">
        <v>2</v>
      </c>
      <c r="F19">
        <v>417.47</v>
      </c>
      <c r="G19">
        <v>834.94</v>
      </c>
    </row>
    <row r="20" spans="1:7" x14ac:dyDescent="0.25">
      <c r="A20" s="1">
        <v>45293</v>
      </c>
      <c r="B20" t="s">
        <v>7</v>
      </c>
      <c r="C20" t="s">
        <v>16</v>
      </c>
      <c r="D20" t="s">
        <v>19</v>
      </c>
      <c r="E20">
        <v>6</v>
      </c>
      <c r="F20">
        <v>247.61</v>
      </c>
      <c r="G20">
        <v>1485.66</v>
      </c>
    </row>
    <row r="21" spans="1:7" x14ac:dyDescent="0.25">
      <c r="A21" s="1">
        <v>45355</v>
      </c>
      <c r="B21" t="s">
        <v>20</v>
      </c>
      <c r="C21" t="s">
        <v>18</v>
      </c>
      <c r="D21" t="s">
        <v>19</v>
      </c>
      <c r="E21">
        <v>1</v>
      </c>
      <c r="F21">
        <v>219.62</v>
      </c>
      <c r="G21">
        <v>219.62</v>
      </c>
    </row>
    <row r="22" spans="1:7" x14ac:dyDescent="0.25">
      <c r="A22" s="1">
        <v>45351</v>
      </c>
      <c r="B22" t="s">
        <v>10</v>
      </c>
      <c r="C22" t="s">
        <v>11</v>
      </c>
      <c r="D22" t="s">
        <v>17</v>
      </c>
      <c r="E22">
        <v>15</v>
      </c>
      <c r="F22">
        <v>258.20999999999998</v>
      </c>
      <c r="G22">
        <v>3873.15</v>
      </c>
    </row>
    <row r="23" spans="1:7" x14ac:dyDescent="0.25">
      <c r="A23" s="1">
        <v>45312</v>
      </c>
      <c r="B23" t="s">
        <v>10</v>
      </c>
      <c r="C23" t="s">
        <v>16</v>
      </c>
      <c r="D23" t="s">
        <v>17</v>
      </c>
      <c r="E23">
        <v>10</v>
      </c>
      <c r="F23">
        <v>185.62</v>
      </c>
      <c r="G23">
        <v>1856.2</v>
      </c>
    </row>
    <row r="24" spans="1:7" x14ac:dyDescent="0.25">
      <c r="A24" s="1">
        <v>45324</v>
      </c>
      <c r="B24" t="s">
        <v>13</v>
      </c>
      <c r="C24" t="s">
        <v>8</v>
      </c>
      <c r="D24" t="s">
        <v>17</v>
      </c>
      <c r="E24">
        <v>19</v>
      </c>
      <c r="F24">
        <v>386.42</v>
      </c>
      <c r="G24">
        <v>7341.98</v>
      </c>
    </row>
    <row r="25" spans="1:7" x14ac:dyDescent="0.25">
      <c r="A25" s="1">
        <v>45367</v>
      </c>
      <c r="B25" t="s">
        <v>15</v>
      </c>
      <c r="C25" t="s">
        <v>16</v>
      </c>
      <c r="D25" t="s">
        <v>19</v>
      </c>
      <c r="E25">
        <v>17</v>
      </c>
      <c r="F25">
        <v>276.22000000000003</v>
      </c>
      <c r="G25">
        <v>4695.74</v>
      </c>
    </row>
    <row r="26" spans="1:7" x14ac:dyDescent="0.25">
      <c r="A26" s="1">
        <v>45349</v>
      </c>
      <c r="B26" t="s">
        <v>20</v>
      </c>
      <c r="C26" t="s">
        <v>16</v>
      </c>
      <c r="D26" t="s">
        <v>9</v>
      </c>
      <c r="E26">
        <v>5</v>
      </c>
      <c r="F26">
        <v>154.5</v>
      </c>
      <c r="G26">
        <v>772.5</v>
      </c>
    </row>
    <row r="27" spans="1:7" x14ac:dyDescent="0.25">
      <c r="A27" s="1">
        <v>45313</v>
      </c>
      <c r="B27" t="s">
        <v>7</v>
      </c>
      <c r="C27" t="s">
        <v>8</v>
      </c>
      <c r="D27" t="s">
        <v>19</v>
      </c>
      <c r="E27">
        <v>4</v>
      </c>
      <c r="F27">
        <v>454.81</v>
      </c>
      <c r="G27">
        <v>1819.24</v>
      </c>
    </row>
    <row r="28" spans="1:7" x14ac:dyDescent="0.25">
      <c r="A28" s="1">
        <v>45380</v>
      </c>
      <c r="B28" t="s">
        <v>10</v>
      </c>
      <c r="C28" t="s">
        <v>18</v>
      </c>
      <c r="D28" t="s">
        <v>9</v>
      </c>
      <c r="E28">
        <v>10</v>
      </c>
      <c r="F28">
        <v>222.75</v>
      </c>
      <c r="G28">
        <v>2227.5</v>
      </c>
    </row>
    <row r="29" spans="1:7" x14ac:dyDescent="0.25">
      <c r="A29" s="1">
        <v>45340</v>
      </c>
      <c r="B29" t="s">
        <v>13</v>
      </c>
      <c r="C29" t="s">
        <v>8</v>
      </c>
      <c r="D29" t="s">
        <v>9</v>
      </c>
      <c r="E29">
        <v>17</v>
      </c>
      <c r="F29">
        <v>294.60000000000002</v>
      </c>
      <c r="G29">
        <v>5008.2</v>
      </c>
    </row>
    <row r="30" spans="1:7" x14ac:dyDescent="0.25">
      <c r="A30" s="1">
        <v>45350</v>
      </c>
      <c r="B30" t="s">
        <v>13</v>
      </c>
      <c r="C30" t="s">
        <v>18</v>
      </c>
      <c r="D30" t="s">
        <v>17</v>
      </c>
      <c r="E30">
        <v>10</v>
      </c>
      <c r="F30">
        <v>457.91</v>
      </c>
      <c r="G30">
        <v>4579.1000000000004</v>
      </c>
    </row>
    <row r="31" spans="1:7" x14ac:dyDescent="0.25">
      <c r="A31" s="1">
        <v>45333</v>
      </c>
      <c r="B31" t="s">
        <v>20</v>
      </c>
      <c r="C31" t="s">
        <v>18</v>
      </c>
      <c r="D31" t="s">
        <v>12</v>
      </c>
      <c r="E31">
        <v>17</v>
      </c>
      <c r="F31">
        <v>330.91</v>
      </c>
      <c r="G31">
        <v>5625.47</v>
      </c>
    </row>
    <row r="32" spans="1:7" x14ac:dyDescent="0.25">
      <c r="A32" s="1">
        <v>45351</v>
      </c>
      <c r="B32" t="s">
        <v>10</v>
      </c>
      <c r="C32" t="s">
        <v>18</v>
      </c>
      <c r="D32" t="s">
        <v>14</v>
      </c>
      <c r="E32">
        <v>5</v>
      </c>
      <c r="F32">
        <v>102.6</v>
      </c>
      <c r="G32">
        <v>513</v>
      </c>
    </row>
    <row r="33" spans="1:7" x14ac:dyDescent="0.25">
      <c r="A33" s="1">
        <v>45371</v>
      </c>
      <c r="B33" t="s">
        <v>15</v>
      </c>
      <c r="C33" t="s">
        <v>8</v>
      </c>
      <c r="D33" t="s">
        <v>17</v>
      </c>
      <c r="E33">
        <v>2</v>
      </c>
      <c r="F33">
        <v>472.92</v>
      </c>
      <c r="G33">
        <v>945.84</v>
      </c>
    </row>
    <row r="34" spans="1:7" x14ac:dyDescent="0.25">
      <c r="A34" s="1">
        <v>45306</v>
      </c>
      <c r="B34" t="s">
        <v>10</v>
      </c>
      <c r="C34" t="s">
        <v>18</v>
      </c>
      <c r="D34" t="s">
        <v>17</v>
      </c>
      <c r="E34">
        <v>6</v>
      </c>
      <c r="F34">
        <v>332.47</v>
      </c>
      <c r="G34">
        <v>1994.82</v>
      </c>
    </row>
    <row r="35" spans="1:7" x14ac:dyDescent="0.25">
      <c r="A35" s="1">
        <v>45353</v>
      </c>
      <c r="B35" t="s">
        <v>20</v>
      </c>
      <c r="C35" t="s">
        <v>11</v>
      </c>
      <c r="D35" t="s">
        <v>12</v>
      </c>
      <c r="E35">
        <v>2</v>
      </c>
      <c r="F35">
        <v>200.71</v>
      </c>
      <c r="G35">
        <v>401.42</v>
      </c>
    </row>
    <row r="36" spans="1:7" x14ac:dyDescent="0.25">
      <c r="A36" s="1">
        <v>45353</v>
      </c>
      <c r="B36" t="s">
        <v>20</v>
      </c>
      <c r="C36" t="s">
        <v>8</v>
      </c>
      <c r="D36" t="s">
        <v>14</v>
      </c>
      <c r="E36">
        <v>13</v>
      </c>
      <c r="F36">
        <v>112.67</v>
      </c>
      <c r="G36">
        <v>1464.71</v>
      </c>
    </row>
    <row r="37" spans="1:7" x14ac:dyDescent="0.25">
      <c r="A37" s="1">
        <v>45338</v>
      </c>
      <c r="B37" t="s">
        <v>10</v>
      </c>
      <c r="C37" t="s">
        <v>11</v>
      </c>
      <c r="D37" t="s">
        <v>19</v>
      </c>
      <c r="E37">
        <v>11</v>
      </c>
      <c r="F37">
        <v>407.31</v>
      </c>
      <c r="G37">
        <v>4480.41</v>
      </c>
    </row>
    <row r="38" spans="1:7" x14ac:dyDescent="0.25">
      <c r="A38" s="1">
        <v>45353</v>
      </c>
      <c r="B38" t="s">
        <v>20</v>
      </c>
      <c r="C38" t="s">
        <v>18</v>
      </c>
      <c r="D38" t="s">
        <v>19</v>
      </c>
      <c r="E38">
        <v>11</v>
      </c>
      <c r="F38">
        <v>329.03</v>
      </c>
      <c r="G38">
        <v>3619.33</v>
      </c>
    </row>
    <row r="39" spans="1:7" x14ac:dyDescent="0.25">
      <c r="A39" s="1">
        <v>45342</v>
      </c>
      <c r="B39" t="s">
        <v>10</v>
      </c>
      <c r="C39" t="s">
        <v>16</v>
      </c>
      <c r="D39" t="s">
        <v>17</v>
      </c>
      <c r="E39">
        <v>16</v>
      </c>
      <c r="F39">
        <v>290.06</v>
      </c>
      <c r="G39">
        <v>4640.96</v>
      </c>
    </row>
    <row r="40" spans="1:7" x14ac:dyDescent="0.25">
      <c r="A40" s="1">
        <v>45346</v>
      </c>
      <c r="B40" t="s">
        <v>7</v>
      </c>
      <c r="C40" t="s">
        <v>18</v>
      </c>
      <c r="D40" t="s">
        <v>14</v>
      </c>
      <c r="E40">
        <v>11</v>
      </c>
      <c r="F40">
        <v>452.25</v>
      </c>
      <c r="G40">
        <v>4974.75</v>
      </c>
    </row>
    <row r="41" spans="1:7" x14ac:dyDescent="0.25">
      <c r="A41" s="1">
        <v>45355</v>
      </c>
      <c r="B41" t="s">
        <v>10</v>
      </c>
      <c r="C41" t="s">
        <v>11</v>
      </c>
      <c r="D41" t="s">
        <v>17</v>
      </c>
      <c r="E41">
        <v>19</v>
      </c>
      <c r="F41">
        <v>404.87</v>
      </c>
      <c r="G41">
        <v>7692.53</v>
      </c>
    </row>
    <row r="42" spans="1:7" x14ac:dyDescent="0.25">
      <c r="A42" s="1">
        <v>45294</v>
      </c>
      <c r="B42" t="s">
        <v>10</v>
      </c>
      <c r="C42" t="s">
        <v>11</v>
      </c>
      <c r="D42" t="s">
        <v>9</v>
      </c>
      <c r="E42">
        <v>15</v>
      </c>
      <c r="F42">
        <v>118.25</v>
      </c>
      <c r="G42">
        <v>1773.75</v>
      </c>
    </row>
    <row r="43" spans="1:7" x14ac:dyDescent="0.25">
      <c r="A43" s="1">
        <v>45342</v>
      </c>
      <c r="B43" t="s">
        <v>20</v>
      </c>
      <c r="C43" t="s">
        <v>8</v>
      </c>
      <c r="D43" t="s">
        <v>17</v>
      </c>
      <c r="E43">
        <v>16</v>
      </c>
      <c r="F43">
        <v>190.27</v>
      </c>
      <c r="G43">
        <v>3044.32</v>
      </c>
    </row>
    <row r="44" spans="1:7" x14ac:dyDescent="0.25">
      <c r="A44" s="1">
        <v>45298</v>
      </c>
      <c r="B44" t="s">
        <v>20</v>
      </c>
      <c r="C44" t="s">
        <v>16</v>
      </c>
      <c r="D44" t="s">
        <v>17</v>
      </c>
      <c r="E44">
        <v>11</v>
      </c>
      <c r="F44">
        <v>161.82</v>
      </c>
      <c r="G44">
        <v>1780.02</v>
      </c>
    </row>
    <row r="45" spans="1:7" x14ac:dyDescent="0.25">
      <c r="A45" s="1">
        <v>45312</v>
      </c>
      <c r="B45" t="s">
        <v>13</v>
      </c>
      <c r="C45" t="s">
        <v>8</v>
      </c>
      <c r="D45" t="s">
        <v>19</v>
      </c>
      <c r="E45">
        <v>16</v>
      </c>
      <c r="F45">
        <v>384.78</v>
      </c>
      <c r="G45">
        <v>6156.48</v>
      </c>
    </row>
    <row r="46" spans="1:7" x14ac:dyDescent="0.25">
      <c r="A46" s="1">
        <v>45364</v>
      </c>
      <c r="B46" t="s">
        <v>13</v>
      </c>
      <c r="C46" t="s">
        <v>11</v>
      </c>
      <c r="D46" t="s">
        <v>19</v>
      </c>
      <c r="E46">
        <v>8</v>
      </c>
      <c r="F46">
        <v>65.09</v>
      </c>
      <c r="G46">
        <v>520.72</v>
      </c>
    </row>
    <row r="47" spans="1:7" x14ac:dyDescent="0.25">
      <c r="A47" s="1">
        <v>45330</v>
      </c>
      <c r="B47" t="s">
        <v>7</v>
      </c>
      <c r="C47" t="s">
        <v>18</v>
      </c>
      <c r="D47" t="s">
        <v>19</v>
      </c>
      <c r="E47">
        <v>4</v>
      </c>
      <c r="F47">
        <v>306.45</v>
      </c>
      <c r="G47">
        <v>1225.8</v>
      </c>
    </row>
    <row r="48" spans="1:7" x14ac:dyDescent="0.25">
      <c r="A48" s="1">
        <v>45309</v>
      </c>
      <c r="B48" t="s">
        <v>13</v>
      </c>
      <c r="C48" t="s">
        <v>16</v>
      </c>
      <c r="D48" t="s">
        <v>9</v>
      </c>
      <c r="E48">
        <v>8</v>
      </c>
      <c r="F48">
        <v>393.11</v>
      </c>
      <c r="G48">
        <v>3144.88</v>
      </c>
    </row>
    <row r="49" spans="1:7" x14ac:dyDescent="0.25">
      <c r="A49" s="1">
        <v>45295</v>
      </c>
      <c r="B49" t="s">
        <v>10</v>
      </c>
      <c r="C49" t="s">
        <v>18</v>
      </c>
      <c r="D49" t="s">
        <v>19</v>
      </c>
      <c r="E49">
        <v>4</v>
      </c>
      <c r="F49">
        <v>444.54</v>
      </c>
      <c r="G49">
        <v>1778.16</v>
      </c>
    </row>
    <row r="50" spans="1:7" x14ac:dyDescent="0.25">
      <c r="A50" s="1">
        <v>45380</v>
      </c>
      <c r="B50" t="s">
        <v>20</v>
      </c>
      <c r="C50" t="s">
        <v>18</v>
      </c>
      <c r="D50" t="s">
        <v>14</v>
      </c>
      <c r="E50">
        <v>3</v>
      </c>
      <c r="F50">
        <v>203.94</v>
      </c>
      <c r="G50">
        <v>611.82000000000005</v>
      </c>
    </row>
    <row r="51" spans="1:7" x14ac:dyDescent="0.25">
      <c r="A51" s="1">
        <v>45351</v>
      </c>
      <c r="B51" t="s">
        <v>13</v>
      </c>
      <c r="C51" t="s">
        <v>16</v>
      </c>
      <c r="D51" t="s">
        <v>12</v>
      </c>
      <c r="E51">
        <v>3</v>
      </c>
      <c r="F51">
        <v>419.57</v>
      </c>
      <c r="G51">
        <v>1258.71</v>
      </c>
    </row>
    <row r="52" spans="1:7" x14ac:dyDescent="0.25">
      <c r="A52" s="1">
        <v>45305</v>
      </c>
      <c r="B52" t="s">
        <v>13</v>
      </c>
      <c r="C52" t="s">
        <v>8</v>
      </c>
      <c r="D52" t="s">
        <v>14</v>
      </c>
      <c r="E52">
        <v>18</v>
      </c>
      <c r="F52">
        <v>99.78</v>
      </c>
      <c r="G52">
        <v>1796.04</v>
      </c>
    </row>
    <row r="53" spans="1:7" x14ac:dyDescent="0.25">
      <c r="A53" s="1">
        <v>45300</v>
      </c>
      <c r="B53" t="s">
        <v>7</v>
      </c>
      <c r="C53" t="s">
        <v>18</v>
      </c>
      <c r="D53" t="s">
        <v>14</v>
      </c>
      <c r="E53">
        <v>19</v>
      </c>
      <c r="F53">
        <v>430.9</v>
      </c>
      <c r="G53">
        <v>8187.1</v>
      </c>
    </row>
    <row r="54" spans="1:7" x14ac:dyDescent="0.25">
      <c r="A54" s="1">
        <v>45381</v>
      </c>
      <c r="B54" t="s">
        <v>7</v>
      </c>
      <c r="C54" t="s">
        <v>11</v>
      </c>
      <c r="D54" t="s">
        <v>19</v>
      </c>
      <c r="E54">
        <v>19</v>
      </c>
      <c r="F54">
        <v>107.37</v>
      </c>
      <c r="G54">
        <v>2040.03</v>
      </c>
    </row>
    <row r="55" spans="1:7" x14ac:dyDescent="0.25">
      <c r="A55" s="1">
        <v>45344</v>
      </c>
      <c r="B55" t="s">
        <v>10</v>
      </c>
      <c r="C55" t="s">
        <v>18</v>
      </c>
      <c r="D55" t="s">
        <v>12</v>
      </c>
      <c r="E55">
        <v>5</v>
      </c>
      <c r="F55">
        <v>228.78</v>
      </c>
      <c r="G55">
        <v>1143.9000000000001</v>
      </c>
    </row>
    <row r="56" spans="1:7" x14ac:dyDescent="0.25">
      <c r="A56" s="1">
        <v>45293</v>
      </c>
      <c r="B56" t="s">
        <v>20</v>
      </c>
      <c r="C56" t="s">
        <v>16</v>
      </c>
      <c r="D56" t="s">
        <v>12</v>
      </c>
      <c r="E56">
        <v>18</v>
      </c>
      <c r="F56">
        <v>408.78</v>
      </c>
      <c r="G56">
        <v>7358.04</v>
      </c>
    </row>
    <row r="57" spans="1:7" x14ac:dyDescent="0.25">
      <c r="A57" s="1">
        <v>45375</v>
      </c>
      <c r="B57" t="s">
        <v>7</v>
      </c>
      <c r="C57" t="s">
        <v>16</v>
      </c>
      <c r="D57" t="s">
        <v>12</v>
      </c>
      <c r="E57">
        <v>10</v>
      </c>
      <c r="F57">
        <v>117.46</v>
      </c>
      <c r="G57">
        <v>1174.5999999999999</v>
      </c>
    </row>
    <row r="58" spans="1:7" x14ac:dyDescent="0.25">
      <c r="A58" s="1">
        <v>45351</v>
      </c>
      <c r="B58" t="s">
        <v>13</v>
      </c>
      <c r="C58" t="s">
        <v>16</v>
      </c>
      <c r="D58" t="s">
        <v>9</v>
      </c>
      <c r="E58">
        <v>6</v>
      </c>
      <c r="F58">
        <v>153.16</v>
      </c>
      <c r="G58">
        <v>918.96</v>
      </c>
    </row>
    <row r="59" spans="1:7" x14ac:dyDescent="0.25">
      <c r="A59" s="1">
        <v>45362</v>
      </c>
      <c r="B59" t="s">
        <v>20</v>
      </c>
      <c r="C59" t="s">
        <v>8</v>
      </c>
      <c r="D59" t="s">
        <v>19</v>
      </c>
      <c r="E59">
        <v>1</v>
      </c>
      <c r="F59">
        <v>375.01</v>
      </c>
      <c r="G59">
        <v>375.01</v>
      </c>
    </row>
    <row r="60" spans="1:7" x14ac:dyDescent="0.25">
      <c r="A60" s="1">
        <v>45335</v>
      </c>
      <c r="B60" t="s">
        <v>20</v>
      </c>
      <c r="C60" t="s">
        <v>18</v>
      </c>
      <c r="D60" t="s">
        <v>12</v>
      </c>
      <c r="E60">
        <v>5</v>
      </c>
      <c r="F60">
        <v>374.02</v>
      </c>
      <c r="G60">
        <v>1870.1</v>
      </c>
    </row>
    <row r="61" spans="1:7" x14ac:dyDescent="0.25">
      <c r="A61" s="1">
        <v>45299</v>
      </c>
      <c r="B61" t="s">
        <v>13</v>
      </c>
      <c r="C61" t="s">
        <v>8</v>
      </c>
      <c r="D61" t="s">
        <v>9</v>
      </c>
      <c r="E61">
        <v>9</v>
      </c>
      <c r="F61">
        <v>338.52</v>
      </c>
      <c r="G61">
        <v>3046.68</v>
      </c>
    </row>
    <row r="62" spans="1:7" x14ac:dyDescent="0.25">
      <c r="A62" s="1">
        <v>45338</v>
      </c>
      <c r="B62" t="s">
        <v>7</v>
      </c>
      <c r="C62" t="s">
        <v>8</v>
      </c>
      <c r="D62" t="s">
        <v>17</v>
      </c>
      <c r="E62">
        <v>12</v>
      </c>
      <c r="F62">
        <v>362.28</v>
      </c>
      <c r="G62">
        <v>4347.3599999999997</v>
      </c>
    </row>
    <row r="63" spans="1:7" x14ac:dyDescent="0.25">
      <c r="A63" s="1">
        <v>45326</v>
      </c>
      <c r="B63" t="s">
        <v>13</v>
      </c>
      <c r="C63" t="s">
        <v>16</v>
      </c>
      <c r="D63" t="s">
        <v>17</v>
      </c>
      <c r="E63">
        <v>14</v>
      </c>
      <c r="F63">
        <v>294.23</v>
      </c>
      <c r="G63">
        <v>4119.22</v>
      </c>
    </row>
    <row r="64" spans="1:7" x14ac:dyDescent="0.25">
      <c r="A64" s="1">
        <v>45369</v>
      </c>
      <c r="B64" t="s">
        <v>20</v>
      </c>
      <c r="C64" t="s">
        <v>16</v>
      </c>
      <c r="D64" t="s">
        <v>9</v>
      </c>
      <c r="E64">
        <v>2</v>
      </c>
      <c r="F64">
        <v>163.31</v>
      </c>
      <c r="G64">
        <v>326.62</v>
      </c>
    </row>
    <row r="65" spans="1:7" x14ac:dyDescent="0.25">
      <c r="A65" s="1">
        <v>45372</v>
      </c>
      <c r="B65" t="s">
        <v>15</v>
      </c>
      <c r="C65" t="s">
        <v>8</v>
      </c>
      <c r="D65" t="s">
        <v>9</v>
      </c>
      <c r="E65">
        <v>17</v>
      </c>
      <c r="F65">
        <v>205.56</v>
      </c>
      <c r="G65">
        <v>3494.52</v>
      </c>
    </row>
    <row r="66" spans="1:7" x14ac:dyDescent="0.25">
      <c r="A66" s="1">
        <v>45327</v>
      </c>
      <c r="B66" t="s">
        <v>15</v>
      </c>
      <c r="C66" t="s">
        <v>18</v>
      </c>
      <c r="D66" t="s">
        <v>19</v>
      </c>
      <c r="E66">
        <v>14</v>
      </c>
      <c r="F66">
        <v>131.72</v>
      </c>
      <c r="G66">
        <v>1844.08</v>
      </c>
    </row>
    <row r="67" spans="1:7" x14ac:dyDescent="0.25">
      <c r="A67" s="1">
        <v>45341</v>
      </c>
      <c r="B67" t="s">
        <v>10</v>
      </c>
      <c r="C67" t="s">
        <v>11</v>
      </c>
      <c r="D67" t="s">
        <v>19</v>
      </c>
      <c r="E67">
        <v>13</v>
      </c>
      <c r="F67">
        <v>458.8</v>
      </c>
      <c r="G67">
        <v>5964.4</v>
      </c>
    </row>
    <row r="68" spans="1:7" x14ac:dyDescent="0.25">
      <c r="A68" s="1">
        <v>45295</v>
      </c>
      <c r="B68" t="s">
        <v>13</v>
      </c>
      <c r="C68" t="s">
        <v>8</v>
      </c>
      <c r="D68" t="s">
        <v>17</v>
      </c>
      <c r="E68">
        <v>9</v>
      </c>
      <c r="F68">
        <v>312.52999999999997</v>
      </c>
      <c r="G68">
        <v>2812.77</v>
      </c>
    </row>
    <row r="69" spans="1:7" x14ac:dyDescent="0.25">
      <c r="A69" s="1">
        <v>45293</v>
      </c>
      <c r="B69" t="s">
        <v>13</v>
      </c>
      <c r="C69" t="s">
        <v>18</v>
      </c>
      <c r="D69" t="s">
        <v>12</v>
      </c>
      <c r="E69">
        <v>15</v>
      </c>
      <c r="F69">
        <v>230.38</v>
      </c>
      <c r="G69">
        <v>3455.7</v>
      </c>
    </row>
    <row r="70" spans="1:7" x14ac:dyDescent="0.25">
      <c r="A70" s="1">
        <v>45297</v>
      </c>
      <c r="B70" t="s">
        <v>10</v>
      </c>
      <c r="C70" t="s">
        <v>16</v>
      </c>
      <c r="D70" t="s">
        <v>17</v>
      </c>
      <c r="E70">
        <v>15</v>
      </c>
      <c r="F70">
        <v>257.89999999999998</v>
      </c>
      <c r="G70">
        <v>3868.5</v>
      </c>
    </row>
    <row r="71" spans="1:7" x14ac:dyDescent="0.25">
      <c r="A71" s="1">
        <v>45345</v>
      </c>
      <c r="B71" t="s">
        <v>10</v>
      </c>
      <c r="C71" t="s">
        <v>16</v>
      </c>
      <c r="D71" t="s">
        <v>12</v>
      </c>
      <c r="E71">
        <v>11</v>
      </c>
      <c r="F71">
        <v>476.28</v>
      </c>
      <c r="G71">
        <v>5239.08</v>
      </c>
    </row>
    <row r="72" spans="1:7" x14ac:dyDescent="0.25">
      <c r="A72" s="1">
        <v>45295</v>
      </c>
      <c r="B72" t="s">
        <v>10</v>
      </c>
      <c r="C72" t="s">
        <v>18</v>
      </c>
      <c r="D72" t="s">
        <v>12</v>
      </c>
      <c r="E72">
        <v>16</v>
      </c>
      <c r="F72">
        <v>119.01</v>
      </c>
      <c r="G72">
        <v>1904.16</v>
      </c>
    </row>
    <row r="73" spans="1:7" x14ac:dyDescent="0.25">
      <c r="A73" s="1">
        <v>45345</v>
      </c>
      <c r="B73" t="s">
        <v>20</v>
      </c>
      <c r="C73" t="s">
        <v>11</v>
      </c>
      <c r="D73" t="s">
        <v>19</v>
      </c>
      <c r="E73">
        <v>17</v>
      </c>
      <c r="F73">
        <v>313.8</v>
      </c>
      <c r="G73">
        <v>5334.6</v>
      </c>
    </row>
    <row r="74" spans="1:7" x14ac:dyDescent="0.25">
      <c r="A74" s="1">
        <v>45354</v>
      </c>
      <c r="B74" t="s">
        <v>13</v>
      </c>
      <c r="C74" t="s">
        <v>16</v>
      </c>
      <c r="D74" t="s">
        <v>14</v>
      </c>
      <c r="E74">
        <v>4</v>
      </c>
      <c r="F74">
        <v>277.64999999999998</v>
      </c>
      <c r="G74">
        <v>1110.5999999999999</v>
      </c>
    </row>
    <row r="75" spans="1:7" x14ac:dyDescent="0.25">
      <c r="A75" s="1">
        <v>45309</v>
      </c>
      <c r="B75" t="s">
        <v>20</v>
      </c>
      <c r="C75" t="s">
        <v>16</v>
      </c>
      <c r="D75" t="s">
        <v>14</v>
      </c>
      <c r="E75">
        <v>1</v>
      </c>
      <c r="F75">
        <v>325.14999999999998</v>
      </c>
      <c r="G75">
        <v>325.14999999999998</v>
      </c>
    </row>
    <row r="76" spans="1:7" x14ac:dyDescent="0.25">
      <c r="A76" s="1">
        <v>45381</v>
      </c>
      <c r="B76" t="s">
        <v>10</v>
      </c>
      <c r="C76" t="s">
        <v>16</v>
      </c>
      <c r="D76" t="s">
        <v>9</v>
      </c>
      <c r="E76">
        <v>8</v>
      </c>
      <c r="F76">
        <v>58.15</v>
      </c>
      <c r="G76">
        <v>465.2</v>
      </c>
    </row>
    <row r="77" spans="1:7" x14ac:dyDescent="0.25">
      <c r="A77" s="1">
        <v>45335</v>
      </c>
      <c r="B77" t="s">
        <v>13</v>
      </c>
      <c r="C77" t="s">
        <v>18</v>
      </c>
      <c r="D77" t="s">
        <v>19</v>
      </c>
      <c r="E77">
        <v>17</v>
      </c>
      <c r="F77">
        <v>442.46</v>
      </c>
      <c r="G77">
        <v>7521.82</v>
      </c>
    </row>
    <row r="78" spans="1:7" x14ac:dyDescent="0.25">
      <c r="A78" s="1">
        <v>45325</v>
      </c>
      <c r="B78" t="s">
        <v>20</v>
      </c>
      <c r="C78" t="s">
        <v>8</v>
      </c>
      <c r="D78" t="s">
        <v>12</v>
      </c>
      <c r="E78">
        <v>3</v>
      </c>
      <c r="F78">
        <v>469.45</v>
      </c>
      <c r="G78">
        <v>1408.35</v>
      </c>
    </row>
    <row r="79" spans="1:7" x14ac:dyDescent="0.25">
      <c r="A79" s="1">
        <v>45365</v>
      </c>
      <c r="B79" t="s">
        <v>20</v>
      </c>
      <c r="C79" t="s">
        <v>16</v>
      </c>
      <c r="D79" t="s">
        <v>14</v>
      </c>
      <c r="E79">
        <v>15</v>
      </c>
      <c r="F79">
        <v>304.31</v>
      </c>
      <c r="G79">
        <v>4564.6499999999996</v>
      </c>
    </row>
    <row r="80" spans="1:7" x14ac:dyDescent="0.25">
      <c r="A80" s="1">
        <v>45353</v>
      </c>
      <c r="B80" t="s">
        <v>10</v>
      </c>
      <c r="C80" t="s">
        <v>8</v>
      </c>
      <c r="D80" t="s">
        <v>12</v>
      </c>
      <c r="E80">
        <v>15</v>
      </c>
      <c r="F80">
        <v>363.49</v>
      </c>
      <c r="G80">
        <v>5452.35</v>
      </c>
    </row>
    <row r="81" spans="1:7" x14ac:dyDescent="0.25">
      <c r="A81" s="1">
        <v>45305</v>
      </c>
      <c r="B81" t="s">
        <v>13</v>
      </c>
      <c r="C81" t="s">
        <v>11</v>
      </c>
      <c r="D81" t="s">
        <v>14</v>
      </c>
      <c r="E81">
        <v>14</v>
      </c>
      <c r="F81">
        <v>465.12</v>
      </c>
      <c r="G81">
        <v>6511.68</v>
      </c>
    </row>
    <row r="82" spans="1:7" x14ac:dyDescent="0.25">
      <c r="A82" s="1">
        <v>45339</v>
      </c>
      <c r="B82" t="s">
        <v>10</v>
      </c>
      <c r="C82" t="s">
        <v>16</v>
      </c>
      <c r="D82" t="s">
        <v>14</v>
      </c>
      <c r="E82">
        <v>14</v>
      </c>
      <c r="F82">
        <v>368.26</v>
      </c>
      <c r="G82">
        <v>5155.6400000000003</v>
      </c>
    </row>
    <row r="83" spans="1:7" x14ac:dyDescent="0.25">
      <c r="A83" s="1">
        <v>45306</v>
      </c>
      <c r="B83" t="s">
        <v>13</v>
      </c>
      <c r="C83" t="s">
        <v>16</v>
      </c>
      <c r="D83" t="s">
        <v>14</v>
      </c>
      <c r="E83">
        <v>2</v>
      </c>
      <c r="F83">
        <v>118.64</v>
      </c>
      <c r="G83">
        <v>237.28</v>
      </c>
    </row>
    <row r="84" spans="1:7" x14ac:dyDescent="0.25">
      <c r="A84" s="1">
        <v>45363</v>
      </c>
      <c r="B84" t="s">
        <v>15</v>
      </c>
      <c r="C84" t="s">
        <v>11</v>
      </c>
      <c r="D84" t="s">
        <v>19</v>
      </c>
      <c r="E84">
        <v>13</v>
      </c>
      <c r="F84">
        <v>309.33</v>
      </c>
      <c r="G84">
        <v>4021.29</v>
      </c>
    </row>
    <row r="85" spans="1:7" x14ac:dyDescent="0.25">
      <c r="A85" s="1">
        <v>45369</v>
      </c>
      <c r="B85" t="s">
        <v>7</v>
      </c>
      <c r="C85" t="s">
        <v>16</v>
      </c>
      <c r="D85" t="s">
        <v>17</v>
      </c>
      <c r="E85">
        <v>14</v>
      </c>
      <c r="F85">
        <v>323.02</v>
      </c>
      <c r="G85">
        <v>4522.28</v>
      </c>
    </row>
    <row r="86" spans="1:7" x14ac:dyDescent="0.25">
      <c r="A86" s="1">
        <v>45378</v>
      </c>
      <c r="B86" t="s">
        <v>7</v>
      </c>
      <c r="C86" t="s">
        <v>8</v>
      </c>
      <c r="D86" t="s">
        <v>12</v>
      </c>
      <c r="E86">
        <v>19</v>
      </c>
      <c r="F86">
        <v>240.86</v>
      </c>
      <c r="G86">
        <v>4576.34</v>
      </c>
    </row>
    <row r="87" spans="1:7" x14ac:dyDescent="0.25">
      <c r="A87" s="1">
        <v>45353</v>
      </c>
      <c r="B87" t="s">
        <v>7</v>
      </c>
      <c r="C87" t="s">
        <v>18</v>
      </c>
      <c r="D87" t="s">
        <v>19</v>
      </c>
      <c r="E87">
        <v>7</v>
      </c>
      <c r="F87">
        <v>381.4</v>
      </c>
      <c r="G87">
        <v>2669.8</v>
      </c>
    </row>
    <row r="88" spans="1:7" x14ac:dyDescent="0.25">
      <c r="A88" s="1">
        <v>45331</v>
      </c>
      <c r="B88" t="s">
        <v>10</v>
      </c>
      <c r="C88" t="s">
        <v>8</v>
      </c>
      <c r="D88" t="s">
        <v>19</v>
      </c>
      <c r="E88">
        <v>3</v>
      </c>
      <c r="F88">
        <v>470.47</v>
      </c>
      <c r="G88">
        <v>1411.41</v>
      </c>
    </row>
    <row r="89" spans="1:7" x14ac:dyDescent="0.25">
      <c r="A89" s="1">
        <v>45376</v>
      </c>
      <c r="B89" t="s">
        <v>15</v>
      </c>
      <c r="C89" t="s">
        <v>18</v>
      </c>
      <c r="D89" t="s">
        <v>19</v>
      </c>
      <c r="E89">
        <v>15</v>
      </c>
      <c r="F89">
        <v>466.51</v>
      </c>
      <c r="G89">
        <v>6997.65</v>
      </c>
    </row>
    <row r="90" spans="1:7" x14ac:dyDescent="0.25">
      <c r="A90" s="1">
        <v>45371</v>
      </c>
      <c r="B90" t="s">
        <v>13</v>
      </c>
      <c r="C90" t="s">
        <v>18</v>
      </c>
      <c r="D90" t="s">
        <v>19</v>
      </c>
      <c r="E90">
        <v>14</v>
      </c>
      <c r="F90">
        <v>252.88</v>
      </c>
      <c r="G90">
        <v>3540.32</v>
      </c>
    </row>
    <row r="91" spans="1:7" x14ac:dyDescent="0.25">
      <c r="A91" s="1">
        <v>45373</v>
      </c>
      <c r="B91" t="s">
        <v>20</v>
      </c>
      <c r="C91" t="s">
        <v>8</v>
      </c>
      <c r="D91" t="s">
        <v>19</v>
      </c>
      <c r="E91">
        <v>11</v>
      </c>
      <c r="F91">
        <v>100.96</v>
      </c>
      <c r="G91">
        <v>1110.56</v>
      </c>
    </row>
    <row r="92" spans="1:7" x14ac:dyDescent="0.25">
      <c r="A92" s="1">
        <v>45344</v>
      </c>
      <c r="B92" t="s">
        <v>13</v>
      </c>
      <c r="C92" t="s">
        <v>8</v>
      </c>
      <c r="D92" t="s">
        <v>9</v>
      </c>
      <c r="E92">
        <v>15</v>
      </c>
      <c r="F92">
        <v>493.18</v>
      </c>
      <c r="G92">
        <v>7397.7</v>
      </c>
    </row>
    <row r="93" spans="1:7" x14ac:dyDescent="0.25">
      <c r="A93" s="1">
        <v>45315</v>
      </c>
      <c r="B93" t="s">
        <v>20</v>
      </c>
      <c r="C93" t="s">
        <v>8</v>
      </c>
      <c r="D93" t="s">
        <v>12</v>
      </c>
      <c r="E93">
        <v>13</v>
      </c>
      <c r="F93">
        <v>427.5</v>
      </c>
      <c r="G93">
        <v>5557.5</v>
      </c>
    </row>
    <row r="94" spans="1:7" x14ac:dyDescent="0.25">
      <c r="A94" s="1">
        <v>45317</v>
      </c>
      <c r="B94" t="s">
        <v>13</v>
      </c>
      <c r="C94" t="s">
        <v>8</v>
      </c>
      <c r="D94" t="s">
        <v>19</v>
      </c>
      <c r="E94">
        <v>18</v>
      </c>
      <c r="F94">
        <v>106.1</v>
      </c>
      <c r="G94">
        <v>1909.8</v>
      </c>
    </row>
    <row r="95" spans="1:7" x14ac:dyDescent="0.25">
      <c r="A95" s="1">
        <v>45380</v>
      </c>
      <c r="B95" t="s">
        <v>15</v>
      </c>
      <c r="C95" t="s">
        <v>11</v>
      </c>
      <c r="D95" t="s">
        <v>12</v>
      </c>
      <c r="E95">
        <v>6</v>
      </c>
      <c r="F95">
        <v>464.38</v>
      </c>
      <c r="G95">
        <v>2786.28</v>
      </c>
    </row>
    <row r="96" spans="1:7" x14ac:dyDescent="0.25">
      <c r="A96" s="1">
        <v>45351</v>
      </c>
      <c r="B96" t="s">
        <v>20</v>
      </c>
      <c r="C96" t="s">
        <v>16</v>
      </c>
      <c r="D96" t="s">
        <v>9</v>
      </c>
      <c r="E96">
        <v>3</v>
      </c>
      <c r="F96">
        <v>441.45</v>
      </c>
      <c r="G96">
        <v>1324.35</v>
      </c>
    </row>
    <row r="97" spans="1:7" x14ac:dyDescent="0.25">
      <c r="A97" s="1">
        <v>45332</v>
      </c>
      <c r="B97" t="s">
        <v>10</v>
      </c>
      <c r="C97" t="s">
        <v>18</v>
      </c>
      <c r="D97" t="s">
        <v>9</v>
      </c>
      <c r="E97">
        <v>19</v>
      </c>
      <c r="F97">
        <v>283.48</v>
      </c>
      <c r="G97">
        <v>5386.12</v>
      </c>
    </row>
    <row r="98" spans="1:7" x14ac:dyDescent="0.25">
      <c r="A98" s="1">
        <v>45320</v>
      </c>
      <c r="B98" t="s">
        <v>13</v>
      </c>
      <c r="C98" t="s">
        <v>8</v>
      </c>
      <c r="D98" t="s">
        <v>12</v>
      </c>
      <c r="E98">
        <v>15</v>
      </c>
      <c r="F98">
        <v>316.07</v>
      </c>
      <c r="G98">
        <v>4741.05</v>
      </c>
    </row>
    <row r="99" spans="1:7" x14ac:dyDescent="0.25">
      <c r="A99" s="1">
        <v>45306</v>
      </c>
      <c r="B99" t="s">
        <v>13</v>
      </c>
      <c r="C99" t="s">
        <v>8</v>
      </c>
      <c r="D99" t="s">
        <v>14</v>
      </c>
      <c r="E99">
        <v>5</v>
      </c>
      <c r="F99">
        <v>229.55</v>
      </c>
      <c r="G99">
        <v>1147.75</v>
      </c>
    </row>
    <row r="100" spans="1:7" x14ac:dyDescent="0.25">
      <c r="A100" s="1">
        <v>45336</v>
      </c>
      <c r="B100" t="s">
        <v>20</v>
      </c>
      <c r="C100" t="s">
        <v>8</v>
      </c>
      <c r="D100" t="s">
        <v>17</v>
      </c>
      <c r="E100">
        <v>10</v>
      </c>
      <c r="F100">
        <v>74.64</v>
      </c>
      <c r="G100">
        <v>746.4</v>
      </c>
    </row>
    <row r="101" spans="1:7" x14ac:dyDescent="0.25">
      <c r="A101" s="1">
        <v>45356</v>
      </c>
      <c r="B101" t="s">
        <v>10</v>
      </c>
      <c r="C101" t="s">
        <v>11</v>
      </c>
      <c r="D101" t="s">
        <v>14</v>
      </c>
      <c r="E101">
        <v>7</v>
      </c>
      <c r="F101">
        <v>200.84</v>
      </c>
      <c r="G101">
        <v>1405.88</v>
      </c>
    </row>
    <row r="102" spans="1:7" x14ac:dyDescent="0.25">
      <c r="A102" s="1">
        <v>45380</v>
      </c>
      <c r="B102" t="s">
        <v>10</v>
      </c>
      <c r="C102" t="s">
        <v>8</v>
      </c>
      <c r="D102" t="s">
        <v>14</v>
      </c>
      <c r="E102">
        <v>17</v>
      </c>
      <c r="F102">
        <v>411.28</v>
      </c>
      <c r="G102">
        <v>6991.76</v>
      </c>
    </row>
    <row r="103" spans="1:7" x14ac:dyDescent="0.25">
      <c r="A103" s="1">
        <v>45362</v>
      </c>
      <c r="B103" t="s">
        <v>15</v>
      </c>
      <c r="C103" t="s">
        <v>8</v>
      </c>
      <c r="D103" t="s">
        <v>14</v>
      </c>
      <c r="E103">
        <v>7</v>
      </c>
      <c r="F103">
        <v>52.08</v>
      </c>
      <c r="G103">
        <v>364.56</v>
      </c>
    </row>
    <row r="104" spans="1:7" x14ac:dyDescent="0.25">
      <c r="A104" s="1">
        <v>45300</v>
      </c>
      <c r="B104" t="s">
        <v>10</v>
      </c>
      <c r="C104" t="s">
        <v>8</v>
      </c>
      <c r="D104" t="s">
        <v>19</v>
      </c>
      <c r="E104">
        <v>12</v>
      </c>
      <c r="F104">
        <v>200.07</v>
      </c>
      <c r="G104">
        <v>2400.84</v>
      </c>
    </row>
    <row r="105" spans="1:7" x14ac:dyDescent="0.25">
      <c r="A105" s="1">
        <v>45379</v>
      </c>
      <c r="B105" t="s">
        <v>10</v>
      </c>
      <c r="C105" t="s">
        <v>16</v>
      </c>
      <c r="D105" t="s">
        <v>9</v>
      </c>
      <c r="E105">
        <v>17</v>
      </c>
      <c r="F105">
        <v>229.18</v>
      </c>
      <c r="G105">
        <v>3896.06</v>
      </c>
    </row>
    <row r="106" spans="1:7" x14ac:dyDescent="0.25">
      <c r="A106" s="1">
        <v>45292</v>
      </c>
      <c r="B106" t="s">
        <v>10</v>
      </c>
      <c r="C106" t="s">
        <v>11</v>
      </c>
      <c r="D106" t="s">
        <v>14</v>
      </c>
      <c r="E106">
        <v>13</v>
      </c>
      <c r="F106">
        <v>291.83</v>
      </c>
      <c r="G106">
        <v>3793.79</v>
      </c>
    </row>
    <row r="107" spans="1:7" x14ac:dyDescent="0.25">
      <c r="A107" s="1">
        <v>45299</v>
      </c>
      <c r="B107" t="s">
        <v>7</v>
      </c>
      <c r="C107" t="s">
        <v>8</v>
      </c>
      <c r="D107" t="s">
        <v>9</v>
      </c>
      <c r="E107">
        <v>4</v>
      </c>
      <c r="F107">
        <v>463.94</v>
      </c>
      <c r="G107">
        <v>1855.76</v>
      </c>
    </row>
    <row r="108" spans="1:7" x14ac:dyDescent="0.25">
      <c r="A108" s="1">
        <v>45379</v>
      </c>
      <c r="B108" t="s">
        <v>15</v>
      </c>
      <c r="C108" t="s">
        <v>18</v>
      </c>
      <c r="D108" t="s">
        <v>12</v>
      </c>
      <c r="E108">
        <v>10</v>
      </c>
      <c r="F108">
        <v>205.86</v>
      </c>
      <c r="G108">
        <v>2058.6</v>
      </c>
    </row>
    <row r="109" spans="1:7" x14ac:dyDescent="0.25">
      <c r="A109" s="1">
        <v>45354</v>
      </c>
      <c r="B109" t="s">
        <v>13</v>
      </c>
      <c r="C109" t="s">
        <v>18</v>
      </c>
      <c r="D109" t="s">
        <v>17</v>
      </c>
      <c r="E109">
        <v>3</v>
      </c>
      <c r="F109">
        <v>206.13</v>
      </c>
      <c r="G109">
        <v>618.39</v>
      </c>
    </row>
    <row r="110" spans="1:7" x14ac:dyDescent="0.25">
      <c r="A110" s="1">
        <v>45302</v>
      </c>
      <c r="B110" t="s">
        <v>20</v>
      </c>
      <c r="C110" t="s">
        <v>18</v>
      </c>
      <c r="D110" t="s">
        <v>12</v>
      </c>
      <c r="E110">
        <v>9</v>
      </c>
      <c r="F110">
        <v>381.88</v>
      </c>
      <c r="G110">
        <v>3436.92</v>
      </c>
    </row>
    <row r="111" spans="1:7" x14ac:dyDescent="0.25">
      <c r="A111" s="1">
        <v>45372</v>
      </c>
      <c r="B111" t="s">
        <v>13</v>
      </c>
      <c r="C111" t="s">
        <v>11</v>
      </c>
      <c r="D111" t="s">
        <v>12</v>
      </c>
      <c r="E111">
        <v>13</v>
      </c>
      <c r="F111">
        <v>253.5</v>
      </c>
      <c r="G111">
        <v>3295.5</v>
      </c>
    </row>
    <row r="112" spans="1:7" x14ac:dyDescent="0.25">
      <c r="A112" s="1">
        <v>45299</v>
      </c>
      <c r="B112" t="s">
        <v>15</v>
      </c>
      <c r="C112" t="s">
        <v>11</v>
      </c>
      <c r="D112" t="s">
        <v>19</v>
      </c>
      <c r="E112">
        <v>18</v>
      </c>
      <c r="F112">
        <v>151.07</v>
      </c>
      <c r="G112">
        <v>2719.26</v>
      </c>
    </row>
    <row r="113" spans="1:7" x14ac:dyDescent="0.25">
      <c r="A113" s="1">
        <v>45326</v>
      </c>
      <c r="B113" t="s">
        <v>20</v>
      </c>
      <c r="C113" t="s">
        <v>18</v>
      </c>
      <c r="D113" t="s">
        <v>17</v>
      </c>
      <c r="E113">
        <v>15</v>
      </c>
      <c r="F113">
        <v>253.6</v>
      </c>
      <c r="G113">
        <v>3804</v>
      </c>
    </row>
    <row r="114" spans="1:7" x14ac:dyDescent="0.25">
      <c r="A114" s="1">
        <v>45326</v>
      </c>
      <c r="B114" t="s">
        <v>15</v>
      </c>
      <c r="C114" t="s">
        <v>8</v>
      </c>
      <c r="D114" t="s">
        <v>12</v>
      </c>
      <c r="E114">
        <v>4</v>
      </c>
      <c r="F114">
        <v>113.39</v>
      </c>
      <c r="G114">
        <v>453.56</v>
      </c>
    </row>
    <row r="115" spans="1:7" x14ac:dyDescent="0.25">
      <c r="A115" s="1">
        <v>45324</v>
      </c>
      <c r="B115" t="s">
        <v>10</v>
      </c>
      <c r="C115" t="s">
        <v>11</v>
      </c>
      <c r="D115" t="s">
        <v>12</v>
      </c>
      <c r="E115">
        <v>15</v>
      </c>
      <c r="F115">
        <v>129.37</v>
      </c>
      <c r="G115">
        <v>1940.55</v>
      </c>
    </row>
    <row r="116" spans="1:7" x14ac:dyDescent="0.25">
      <c r="A116" s="1">
        <v>45296</v>
      </c>
      <c r="B116" t="s">
        <v>20</v>
      </c>
      <c r="C116" t="s">
        <v>18</v>
      </c>
      <c r="D116" t="s">
        <v>17</v>
      </c>
      <c r="E116">
        <v>2</v>
      </c>
      <c r="F116">
        <v>274.27</v>
      </c>
      <c r="G116">
        <v>548.54</v>
      </c>
    </row>
    <row r="117" spans="1:7" x14ac:dyDescent="0.25">
      <c r="A117" s="1">
        <v>45332</v>
      </c>
      <c r="B117" t="s">
        <v>10</v>
      </c>
      <c r="C117" t="s">
        <v>18</v>
      </c>
      <c r="D117" t="s">
        <v>17</v>
      </c>
      <c r="E117">
        <v>15</v>
      </c>
      <c r="F117">
        <v>238.52</v>
      </c>
      <c r="G117">
        <v>3577.8</v>
      </c>
    </row>
    <row r="118" spans="1:7" x14ac:dyDescent="0.25">
      <c r="A118" s="1">
        <v>45319</v>
      </c>
      <c r="B118" t="s">
        <v>13</v>
      </c>
      <c r="C118" t="s">
        <v>8</v>
      </c>
      <c r="D118" t="s">
        <v>12</v>
      </c>
      <c r="E118">
        <v>8</v>
      </c>
      <c r="F118">
        <v>461.68</v>
      </c>
      <c r="G118">
        <v>3693.44</v>
      </c>
    </row>
    <row r="119" spans="1:7" x14ac:dyDescent="0.25">
      <c r="A119" s="1">
        <v>45298</v>
      </c>
      <c r="B119" t="s">
        <v>13</v>
      </c>
      <c r="C119" t="s">
        <v>16</v>
      </c>
      <c r="D119" t="s">
        <v>17</v>
      </c>
      <c r="E119">
        <v>8</v>
      </c>
      <c r="F119">
        <v>213.08</v>
      </c>
      <c r="G119">
        <v>1704.64</v>
      </c>
    </row>
    <row r="120" spans="1:7" x14ac:dyDescent="0.25">
      <c r="A120" s="1">
        <v>45364</v>
      </c>
      <c r="B120" t="s">
        <v>20</v>
      </c>
      <c r="C120" t="s">
        <v>11</v>
      </c>
      <c r="D120" t="s">
        <v>12</v>
      </c>
      <c r="E120">
        <v>17</v>
      </c>
      <c r="F120">
        <v>311.26</v>
      </c>
      <c r="G120">
        <v>5291.42</v>
      </c>
    </row>
    <row r="121" spans="1:7" x14ac:dyDescent="0.25">
      <c r="A121" s="1">
        <v>45363</v>
      </c>
      <c r="B121" t="s">
        <v>20</v>
      </c>
      <c r="C121" t="s">
        <v>8</v>
      </c>
      <c r="D121" t="s">
        <v>12</v>
      </c>
      <c r="E121">
        <v>12</v>
      </c>
      <c r="F121">
        <v>334.52</v>
      </c>
      <c r="G121">
        <v>4014.24</v>
      </c>
    </row>
    <row r="122" spans="1:7" x14ac:dyDescent="0.25">
      <c r="A122" s="1">
        <v>45303</v>
      </c>
      <c r="B122" t="s">
        <v>15</v>
      </c>
      <c r="C122" t="s">
        <v>18</v>
      </c>
      <c r="D122" t="s">
        <v>19</v>
      </c>
      <c r="E122">
        <v>19</v>
      </c>
      <c r="F122">
        <v>55.89</v>
      </c>
      <c r="G122">
        <v>1061.9100000000001</v>
      </c>
    </row>
    <row r="123" spans="1:7" x14ac:dyDescent="0.25">
      <c r="A123" s="1">
        <v>45325</v>
      </c>
      <c r="B123" t="s">
        <v>15</v>
      </c>
      <c r="C123" t="s">
        <v>18</v>
      </c>
      <c r="D123" t="s">
        <v>14</v>
      </c>
      <c r="E123">
        <v>10</v>
      </c>
      <c r="F123">
        <v>348.59</v>
      </c>
      <c r="G123">
        <v>3485.9</v>
      </c>
    </row>
    <row r="124" spans="1:7" x14ac:dyDescent="0.25">
      <c r="A124" s="1">
        <v>45324</v>
      </c>
      <c r="B124" t="s">
        <v>10</v>
      </c>
      <c r="C124" t="s">
        <v>8</v>
      </c>
      <c r="D124" t="s">
        <v>12</v>
      </c>
      <c r="E124">
        <v>9</v>
      </c>
      <c r="F124">
        <v>130.12</v>
      </c>
      <c r="G124">
        <v>1171.08</v>
      </c>
    </row>
    <row r="125" spans="1:7" x14ac:dyDescent="0.25">
      <c r="A125" s="1">
        <v>45339</v>
      </c>
      <c r="B125" t="s">
        <v>20</v>
      </c>
      <c r="C125" t="s">
        <v>11</v>
      </c>
      <c r="D125" t="s">
        <v>9</v>
      </c>
      <c r="E125">
        <v>5</v>
      </c>
      <c r="F125">
        <v>482.48</v>
      </c>
      <c r="G125">
        <v>2412.4</v>
      </c>
    </row>
    <row r="126" spans="1:7" x14ac:dyDescent="0.25">
      <c r="A126" s="1">
        <v>45314</v>
      </c>
      <c r="B126" t="s">
        <v>13</v>
      </c>
      <c r="C126" t="s">
        <v>16</v>
      </c>
      <c r="D126" t="s">
        <v>14</v>
      </c>
      <c r="E126">
        <v>6</v>
      </c>
      <c r="F126">
        <v>116.9</v>
      </c>
      <c r="G126">
        <v>701.4</v>
      </c>
    </row>
    <row r="127" spans="1:7" x14ac:dyDescent="0.25">
      <c r="A127" s="1">
        <v>45353</v>
      </c>
      <c r="B127" t="s">
        <v>15</v>
      </c>
      <c r="C127" t="s">
        <v>16</v>
      </c>
      <c r="D127" t="s">
        <v>14</v>
      </c>
      <c r="E127">
        <v>2</v>
      </c>
      <c r="F127">
        <v>236.58</v>
      </c>
      <c r="G127">
        <v>473.16</v>
      </c>
    </row>
    <row r="128" spans="1:7" x14ac:dyDescent="0.25">
      <c r="A128" s="1">
        <v>45379</v>
      </c>
      <c r="B128" t="s">
        <v>15</v>
      </c>
      <c r="C128" t="s">
        <v>18</v>
      </c>
      <c r="D128" t="s">
        <v>14</v>
      </c>
      <c r="E128">
        <v>13</v>
      </c>
      <c r="F128">
        <v>88.41</v>
      </c>
      <c r="G128">
        <v>1149.33</v>
      </c>
    </row>
    <row r="129" spans="1:7" x14ac:dyDescent="0.25">
      <c r="A129" s="1">
        <v>45328</v>
      </c>
      <c r="B129" t="s">
        <v>13</v>
      </c>
      <c r="C129" t="s">
        <v>11</v>
      </c>
      <c r="D129" t="s">
        <v>19</v>
      </c>
      <c r="E129">
        <v>6</v>
      </c>
      <c r="F129">
        <v>498.59</v>
      </c>
      <c r="G129">
        <v>2991.54</v>
      </c>
    </row>
    <row r="130" spans="1:7" x14ac:dyDescent="0.25">
      <c r="A130" s="1">
        <v>45335</v>
      </c>
      <c r="B130" t="s">
        <v>15</v>
      </c>
      <c r="C130" t="s">
        <v>16</v>
      </c>
      <c r="D130" t="s">
        <v>12</v>
      </c>
      <c r="E130">
        <v>5</v>
      </c>
      <c r="F130">
        <v>275.99</v>
      </c>
      <c r="G130">
        <v>1379.95</v>
      </c>
    </row>
    <row r="131" spans="1:7" x14ac:dyDescent="0.25">
      <c r="A131" s="1">
        <v>45377</v>
      </c>
      <c r="B131" t="s">
        <v>10</v>
      </c>
      <c r="C131" t="s">
        <v>11</v>
      </c>
      <c r="D131" t="s">
        <v>19</v>
      </c>
      <c r="E131">
        <v>1</v>
      </c>
      <c r="F131">
        <v>317.92</v>
      </c>
      <c r="G131">
        <v>317.92</v>
      </c>
    </row>
    <row r="132" spans="1:7" x14ac:dyDescent="0.25">
      <c r="A132" s="1">
        <v>45326</v>
      </c>
      <c r="B132" t="s">
        <v>20</v>
      </c>
      <c r="C132" t="s">
        <v>11</v>
      </c>
      <c r="D132" t="s">
        <v>12</v>
      </c>
      <c r="E132">
        <v>6</v>
      </c>
      <c r="F132">
        <v>80.180000000000007</v>
      </c>
      <c r="G132">
        <v>481.08</v>
      </c>
    </row>
    <row r="133" spans="1:7" x14ac:dyDescent="0.25">
      <c r="A133" s="1">
        <v>45356</v>
      </c>
      <c r="B133" t="s">
        <v>13</v>
      </c>
      <c r="C133" t="s">
        <v>18</v>
      </c>
      <c r="D133" t="s">
        <v>19</v>
      </c>
      <c r="E133">
        <v>6</v>
      </c>
      <c r="F133">
        <v>387.48</v>
      </c>
      <c r="G133">
        <v>2324.88</v>
      </c>
    </row>
    <row r="134" spans="1:7" x14ac:dyDescent="0.25">
      <c r="A134" s="1">
        <v>45338</v>
      </c>
      <c r="B134" t="s">
        <v>20</v>
      </c>
      <c r="C134" t="s">
        <v>16</v>
      </c>
      <c r="D134" t="s">
        <v>19</v>
      </c>
      <c r="E134">
        <v>16</v>
      </c>
      <c r="F134">
        <v>144.46</v>
      </c>
      <c r="G134">
        <v>2311.36</v>
      </c>
    </row>
    <row r="135" spans="1:7" x14ac:dyDescent="0.25">
      <c r="A135" s="1">
        <v>45369</v>
      </c>
      <c r="B135" t="s">
        <v>15</v>
      </c>
      <c r="C135" t="s">
        <v>8</v>
      </c>
      <c r="D135" t="s">
        <v>9</v>
      </c>
      <c r="E135">
        <v>4</v>
      </c>
      <c r="F135">
        <v>454.12</v>
      </c>
      <c r="G135">
        <v>1816.48</v>
      </c>
    </row>
    <row r="136" spans="1:7" x14ac:dyDescent="0.25">
      <c r="A136" s="1">
        <v>45294</v>
      </c>
      <c r="B136" t="s">
        <v>15</v>
      </c>
      <c r="C136" t="s">
        <v>18</v>
      </c>
      <c r="D136" t="s">
        <v>19</v>
      </c>
      <c r="E136">
        <v>11</v>
      </c>
      <c r="F136">
        <v>142.31</v>
      </c>
      <c r="G136">
        <v>1565.41</v>
      </c>
    </row>
    <row r="137" spans="1:7" x14ac:dyDescent="0.25">
      <c r="A137" s="1">
        <v>45292</v>
      </c>
      <c r="B137" t="s">
        <v>13</v>
      </c>
      <c r="C137" t="s">
        <v>16</v>
      </c>
      <c r="D137" t="s">
        <v>17</v>
      </c>
      <c r="E137">
        <v>9</v>
      </c>
      <c r="F137">
        <v>135.81</v>
      </c>
      <c r="G137">
        <v>1222.29</v>
      </c>
    </row>
    <row r="138" spans="1:7" x14ac:dyDescent="0.25">
      <c r="A138" s="1">
        <v>45296</v>
      </c>
      <c r="B138" t="s">
        <v>10</v>
      </c>
      <c r="C138" t="s">
        <v>16</v>
      </c>
      <c r="D138" t="s">
        <v>9</v>
      </c>
      <c r="E138">
        <v>3</v>
      </c>
      <c r="F138">
        <v>66.45</v>
      </c>
      <c r="G138">
        <v>199.35</v>
      </c>
    </row>
    <row r="139" spans="1:7" x14ac:dyDescent="0.25">
      <c r="A139" s="1">
        <v>45381</v>
      </c>
      <c r="B139" t="s">
        <v>7</v>
      </c>
      <c r="C139" t="s">
        <v>16</v>
      </c>
      <c r="D139" t="s">
        <v>19</v>
      </c>
      <c r="E139">
        <v>19</v>
      </c>
      <c r="F139">
        <v>262.43</v>
      </c>
      <c r="G139">
        <v>4986.17</v>
      </c>
    </row>
    <row r="140" spans="1:7" x14ac:dyDescent="0.25">
      <c r="A140" s="1">
        <v>45305</v>
      </c>
      <c r="B140" t="s">
        <v>13</v>
      </c>
      <c r="C140" t="s">
        <v>16</v>
      </c>
      <c r="D140" t="s">
        <v>14</v>
      </c>
      <c r="E140">
        <v>8</v>
      </c>
      <c r="F140">
        <v>304.18</v>
      </c>
      <c r="G140">
        <v>2433.44</v>
      </c>
    </row>
    <row r="141" spans="1:7" x14ac:dyDescent="0.25">
      <c r="A141" s="1">
        <v>45318</v>
      </c>
      <c r="B141" t="s">
        <v>7</v>
      </c>
      <c r="C141" t="s">
        <v>16</v>
      </c>
      <c r="D141" t="s">
        <v>17</v>
      </c>
      <c r="E141">
        <v>5</v>
      </c>
      <c r="F141">
        <v>79.569999999999993</v>
      </c>
      <c r="G141">
        <v>397.85</v>
      </c>
    </row>
    <row r="142" spans="1:7" x14ac:dyDescent="0.25">
      <c r="A142" s="1">
        <v>45300</v>
      </c>
      <c r="B142" t="s">
        <v>7</v>
      </c>
      <c r="C142" t="s">
        <v>11</v>
      </c>
      <c r="D142" t="s">
        <v>17</v>
      </c>
      <c r="E142">
        <v>4</v>
      </c>
      <c r="F142">
        <v>398.99</v>
      </c>
      <c r="G142">
        <v>1595.96</v>
      </c>
    </row>
    <row r="143" spans="1:7" x14ac:dyDescent="0.25">
      <c r="A143" s="1">
        <v>45370</v>
      </c>
      <c r="B143" t="s">
        <v>10</v>
      </c>
      <c r="C143" t="s">
        <v>18</v>
      </c>
      <c r="D143" t="s">
        <v>17</v>
      </c>
      <c r="E143">
        <v>6</v>
      </c>
      <c r="F143">
        <v>253.98</v>
      </c>
      <c r="G143">
        <v>1523.88</v>
      </c>
    </row>
    <row r="144" spans="1:7" x14ac:dyDescent="0.25">
      <c r="A144" s="1">
        <v>45306</v>
      </c>
      <c r="B144" t="s">
        <v>7</v>
      </c>
      <c r="C144" t="s">
        <v>11</v>
      </c>
      <c r="D144" t="s">
        <v>9</v>
      </c>
      <c r="E144">
        <v>2</v>
      </c>
      <c r="F144">
        <v>285.98</v>
      </c>
      <c r="G144">
        <v>571.96</v>
      </c>
    </row>
    <row r="145" spans="1:7" x14ac:dyDescent="0.25">
      <c r="A145" s="1">
        <v>45381</v>
      </c>
      <c r="B145" t="s">
        <v>7</v>
      </c>
      <c r="C145" t="s">
        <v>8</v>
      </c>
      <c r="D145" t="s">
        <v>19</v>
      </c>
      <c r="E145">
        <v>11</v>
      </c>
      <c r="F145">
        <v>248.34</v>
      </c>
      <c r="G145">
        <v>2731.74</v>
      </c>
    </row>
    <row r="146" spans="1:7" x14ac:dyDescent="0.25">
      <c r="A146" s="1">
        <v>45333</v>
      </c>
      <c r="B146" t="s">
        <v>10</v>
      </c>
      <c r="C146" t="s">
        <v>16</v>
      </c>
      <c r="D146" t="s">
        <v>19</v>
      </c>
      <c r="E146">
        <v>4</v>
      </c>
      <c r="F146">
        <v>230.34</v>
      </c>
      <c r="G146">
        <v>921.36</v>
      </c>
    </row>
    <row r="147" spans="1:7" x14ac:dyDescent="0.25">
      <c r="A147" s="1">
        <v>45368</v>
      </c>
      <c r="B147" t="s">
        <v>7</v>
      </c>
      <c r="C147" t="s">
        <v>18</v>
      </c>
      <c r="D147" t="s">
        <v>14</v>
      </c>
      <c r="E147">
        <v>15</v>
      </c>
      <c r="F147">
        <v>301.83999999999997</v>
      </c>
      <c r="G147">
        <v>4527.6000000000004</v>
      </c>
    </row>
    <row r="148" spans="1:7" x14ac:dyDescent="0.25">
      <c r="A148" s="1">
        <v>45342</v>
      </c>
      <c r="B148" t="s">
        <v>7</v>
      </c>
      <c r="C148" t="s">
        <v>16</v>
      </c>
      <c r="D148" t="s">
        <v>14</v>
      </c>
      <c r="E148">
        <v>6</v>
      </c>
      <c r="F148">
        <v>119.86</v>
      </c>
      <c r="G148">
        <v>719.16</v>
      </c>
    </row>
    <row r="149" spans="1:7" x14ac:dyDescent="0.25">
      <c r="A149" s="1">
        <v>45354</v>
      </c>
      <c r="B149" t="s">
        <v>7</v>
      </c>
      <c r="C149" t="s">
        <v>18</v>
      </c>
      <c r="D149" t="s">
        <v>17</v>
      </c>
      <c r="E149">
        <v>17</v>
      </c>
      <c r="F149">
        <v>131.87</v>
      </c>
      <c r="G149">
        <v>2241.79</v>
      </c>
    </row>
    <row r="150" spans="1:7" x14ac:dyDescent="0.25">
      <c r="A150" s="1">
        <v>45343</v>
      </c>
      <c r="B150" t="s">
        <v>13</v>
      </c>
      <c r="C150" t="s">
        <v>11</v>
      </c>
      <c r="D150" t="s">
        <v>14</v>
      </c>
      <c r="E150">
        <v>6</v>
      </c>
      <c r="F150">
        <v>437.8</v>
      </c>
      <c r="G150">
        <v>2626.8</v>
      </c>
    </row>
    <row r="151" spans="1:7" x14ac:dyDescent="0.25">
      <c r="A151" s="1">
        <v>45295</v>
      </c>
      <c r="B151" t="s">
        <v>13</v>
      </c>
      <c r="C151" t="s">
        <v>18</v>
      </c>
      <c r="D151" t="s">
        <v>9</v>
      </c>
      <c r="E151">
        <v>19</v>
      </c>
      <c r="F151">
        <v>475.75</v>
      </c>
      <c r="G151">
        <v>9039.25</v>
      </c>
    </row>
    <row r="152" spans="1:7" x14ac:dyDescent="0.25">
      <c r="A152" s="1">
        <v>45314</v>
      </c>
      <c r="B152" t="s">
        <v>13</v>
      </c>
      <c r="C152" t="s">
        <v>8</v>
      </c>
      <c r="D152" t="s">
        <v>19</v>
      </c>
      <c r="E152">
        <v>2</v>
      </c>
      <c r="F152">
        <v>217.99</v>
      </c>
      <c r="G152">
        <v>435.98</v>
      </c>
    </row>
    <row r="153" spans="1:7" x14ac:dyDescent="0.25">
      <c r="A153" s="1">
        <v>45306</v>
      </c>
      <c r="B153" t="s">
        <v>10</v>
      </c>
      <c r="C153" t="s">
        <v>8</v>
      </c>
      <c r="D153" t="s">
        <v>17</v>
      </c>
      <c r="E153">
        <v>15</v>
      </c>
      <c r="F153">
        <v>171.84</v>
      </c>
      <c r="G153">
        <v>2577.6</v>
      </c>
    </row>
    <row r="154" spans="1:7" x14ac:dyDescent="0.25">
      <c r="A154" s="1">
        <v>45334</v>
      </c>
      <c r="B154" t="s">
        <v>15</v>
      </c>
      <c r="C154" t="s">
        <v>18</v>
      </c>
      <c r="D154" t="s">
        <v>14</v>
      </c>
      <c r="E154">
        <v>11</v>
      </c>
      <c r="F154">
        <v>339.8</v>
      </c>
      <c r="G154">
        <v>3737.8</v>
      </c>
    </row>
    <row r="155" spans="1:7" x14ac:dyDescent="0.25">
      <c r="A155" s="1">
        <v>45320</v>
      </c>
      <c r="B155" t="s">
        <v>7</v>
      </c>
      <c r="C155" t="s">
        <v>18</v>
      </c>
      <c r="D155" t="s">
        <v>9</v>
      </c>
      <c r="E155">
        <v>8</v>
      </c>
      <c r="F155">
        <v>233.93</v>
      </c>
      <c r="G155">
        <v>1871.44</v>
      </c>
    </row>
    <row r="156" spans="1:7" x14ac:dyDescent="0.25">
      <c r="A156" s="1">
        <v>45327</v>
      </c>
      <c r="B156" t="s">
        <v>7</v>
      </c>
      <c r="C156" t="s">
        <v>18</v>
      </c>
      <c r="D156" t="s">
        <v>9</v>
      </c>
      <c r="E156">
        <v>19</v>
      </c>
      <c r="F156">
        <v>61.42</v>
      </c>
      <c r="G156">
        <v>1166.98</v>
      </c>
    </row>
    <row r="157" spans="1:7" x14ac:dyDescent="0.25">
      <c r="A157" s="1">
        <v>45304</v>
      </c>
      <c r="B157" t="s">
        <v>10</v>
      </c>
      <c r="C157" t="s">
        <v>18</v>
      </c>
      <c r="D157" t="s">
        <v>14</v>
      </c>
      <c r="E157">
        <v>13</v>
      </c>
      <c r="F157">
        <v>120.27</v>
      </c>
      <c r="G157">
        <v>1563.51</v>
      </c>
    </row>
    <row r="158" spans="1:7" x14ac:dyDescent="0.25">
      <c r="A158" s="1">
        <v>45323</v>
      </c>
      <c r="B158" t="s">
        <v>7</v>
      </c>
      <c r="C158" t="s">
        <v>8</v>
      </c>
      <c r="D158" t="s">
        <v>19</v>
      </c>
      <c r="E158">
        <v>12</v>
      </c>
      <c r="F158">
        <v>372.19</v>
      </c>
      <c r="G158">
        <v>4466.28</v>
      </c>
    </row>
    <row r="159" spans="1:7" x14ac:dyDescent="0.25">
      <c r="A159" s="1">
        <v>45362</v>
      </c>
      <c r="B159" t="s">
        <v>13</v>
      </c>
      <c r="C159" t="s">
        <v>16</v>
      </c>
      <c r="D159" t="s">
        <v>14</v>
      </c>
      <c r="E159">
        <v>5</v>
      </c>
      <c r="F159">
        <v>346.52</v>
      </c>
      <c r="G159">
        <v>1732.6</v>
      </c>
    </row>
    <row r="160" spans="1:7" x14ac:dyDescent="0.25">
      <c r="A160" s="1">
        <v>45350</v>
      </c>
      <c r="B160" t="s">
        <v>15</v>
      </c>
      <c r="C160" t="s">
        <v>18</v>
      </c>
      <c r="D160" t="s">
        <v>17</v>
      </c>
      <c r="E160">
        <v>6</v>
      </c>
      <c r="F160">
        <v>62.19</v>
      </c>
      <c r="G160">
        <v>373.14</v>
      </c>
    </row>
    <row r="161" spans="1:7" x14ac:dyDescent="0.25">
      <c r="A161" s="1">
        <v>45377</v>
      </c>
      <c r="B161" t="s">
        <v>20</v>
      </c>
      <c r="C161" t="s">
        <v>18</v>
      </c>
      <c r="D161" t="s">
        <v>14</v>
      </c>
      <c r="E161">
        <v>4</v>
      </c>
      <c r="F161">
        <v>149.88999999999999</v>
      </c>
      <c r="G161">
        <v>599.55999999999995</v>
      </c>
    </row>
    <row r="162" spans="1:7" x14ac:dyDescent="0.25">
      <c r="A162" s="1">
        <v>45319</v>
      </c>
      <c r="B162" t="s">
        <v>7</v>
      </c>
      <c r="C162" t="s">
        <v>8</v>
      </c>
      <c r="D162" t="s">
        <v>9</v>
      </c>
      <c r="E162">
        <v>19</v>
      </c>
      <c r="F162">
        <v>153.97999999999999</v>
      </c>
      <c r="G162">
        <v>2925.62</v>
      </c>
    </row>
    <row r="163" spans="1:7" x14ac:dyDescent="0.25">
      <c r="A163" s="1">
        <v>45357</v>
      </c>
      <c r="B163" t="s">
        <v>13</v>
      </c>
      <c r="C163" t="s">
        <v>8</v>
      </c>
      <c r="D163" t="s">
        <v>14</v>
      </c>
      <c r="E163">
        <v>1</v>
      </c>
      <c r="F163">
        <v>352.35</v>
      </c>
      <c r="G163">
        <v>352.35</v>
      </c>
    </row>
    <row r="164" spans="1:7" x14ac:dyDescent="0.25">
      <c r="A164" s="1">
        <v>45333</v>
      </c>
      <c r="B164" t="s">
        <v>20</v>
      </c>
      <c r="C164" t="s">
        <v>11</v>
      </c>
      <c r="D164" t="s">
        <v>19</v>
      </c>
      <c r="E164">
        <v>17</v>
      </c>
      <c r="F164">
        <v>58.87</v>
      </c>
      <c r="G164">
        <v>1000.79</v>
      </c>
    </row>
    <row r="165" spans="1:7" x14ac:dyDescent="0.25">
      <c r="A165" s="1">
        <v>45336</v>
      </c>
      <c r="B165" t="s">
        <v>15</v>
      </c>
      <c r="C165" t="s">
        <v>18</v>
      </c>
      <c r="D165" t="s">
        <v>12</v>
      </c>
      <c r="E165">
        <v>12</v>
      </c>
      <c r="F165">
        <v>96.85</v>
      </c>
      <c r="G165">
        <v>1162.2</v>
      </c>
    </row>
    <row r="166" spans="1:7" x14ac:dyDescent="0.25">
      <c r="A166" s="1">
        <v>45353</v>
      </c>
      <c r="B166" t="s">
        <v>20</v>
      </c>
      <c r="C166" t="s">
        <v>11</v>
      </c>
      <c r="D166" t="s">
        <v>14</v>
      </c>
      <c r="E166">
        <v>15</v>
      </c>
      <c r="F166">
        <v>409.96</v>
      </c>
      <c r="G166">
        <v>6149.4</v>
      </c>
    </row>
    <row r="167" spans="1:7" x14ac:dyDescent="0.25">
      <c r="A167" s="1">
        <v>45348</v>
      </c>
      <c r="B167" t="s">
        <v>13</v>
      </c>
      <c r="C167" t="s">
        <v>8</v>
      </c>
      <c r="D167" t="s">
        <v>19</v>
      </c>
      <c r="E167">
        <v>1</v>
      </c>
      <c r="F167">
        <v>130.35</v>
      </c>
      <c r="G167">
        <v>130.35</v>
      </c>
    </row>
    <row r="168" spans="1:7" x14ac:dyDescent="0.25">
      <c r="A168" s="1">
        <v>45297</v>
      </c>
      <c r="B168" t="s">
        <v>20</v>
      </c>
      <c r="C168" t="s">
        <v>8</v>
      </c>
      <c r="D168" t="s">
        <v>19</v>
      </c>
      <c r="E168">
        <v>14</v>
      </c>
      <c r="F168">
        <v>343.74</v>
      </c>
      <c r="G168">
        <v>4812.3599999999997</v>
      </c>
    </row>
    <row r="169" spans="1:7" x14ac:dyDescent="0.25">
      <c r="A169" s="1">
        <v>45319</v>
      </c>
      <c r="B169" t="s">
        <v>10</v>
      </c>
      <c r="C169" t="s">
        <v>16</v>
      </c>
      <c r="D169" t="s">
        <v>9</v>
      </c>
      <c r="E169">
        <v>6</v>
      </c>
      <c r="F169">
        <v>157.18</v>
      </c>
      <c r="G169">
        <v>943.08</v>
      </c>
    </row>
    <row r="170" spans="1:7" x14ac:dyDescent="0.25">
      <c r="A170" s="1">
        <v>45319</v>
      </c>
      <c r="B170" t="s">
        <v>20</v>
      </c>
      <c r="C170" t="s">
        <v>18</v>
      </c>
      <c r="D170" t="s">
        <v>19</v>
      </c>
      <c r="E170">
        <v>5</v>
      </c>
      <c r="F170">
        <v>94.75</v>
      </c>
      <c r="G170">
        <v>473.75</v>
      </c>
    </row>
    <row r="171" spans="1:7" x14ac:dyDescent="0.25">
      <c r="A171" s="1">
        <v>45335</v>
      </c>
      <c r="B171" t="s">
        <v>7</v>
      </c>
      <c r="C171" t="s">
        <v>11</v>
      </c>
      <c r="D171" t="s">
        <v>19</v>
      </c>
      <c r="E171">
        <v>11</v>
      </c>
      <c r="F171">
        <v>159.43</v>
      </c>
      <c r="G171">
        <v>1753.73</v>
      </c>
    </row>
    <row r="172" spans="1:7" x14ac:dyDescent="0.25">
      <c r="A172" s="1">
        <v>45375</v>
      </c>
      <c r="B172" t="s">
        <v>7</v>
      </c>
      <c r="C172" t="s">
        <v>8</v>
      </c>
      <c r="D172" t="s">
        <v>19</v>
      </c>
      <c r="E172">
        <v>4</v>
      </c>
      <c r="F172">
        <v>375.02</v>
      </c>
      <c r="G172">
        <v>1500.08</v>
      </c>
    </row>
    <row r="173" spans="1:7" x14ac:dyDescent="0.25">
      <c r="A173" s="1">
        <v>45321</v>
      </c>
      <c r="B173" t="s">
        <v>10</v>
      </c>
      <c r="C173" t="s">
        <v>8</v>
      </c>
      <c r="D173" t="s">
        <v>19</v>
      </c>
      <c r="E173">
        <v>13</v>
      </c>
      <c r="F173">
        <v>435.06</v>
      </c>
      <c r="G173">
        <v>5655.78</v>
      </c>
    </row>
    <row r="174" spans="1:7" x14ac:dyDescent="0.25">
      <c r="A174" s="1">
        <v>45353</v>
      </c>
      <c r="B174" t="s">
        <v>13</v>
      </c>
      <c r="C174" t="s">
        <v>11</v>
      </c>
      <c r="D174" t="s">
        <v>17</v>
      </c>
      <c r="E174">
        <v>11</v>
      </c>
      <c r="F174">
        <v>423.6</v>
      </c>
      <c r="G174">
        <v>4659.6000000000004</v>
      </c>
    </row>
    <row r="175" spans="1:7" x14ac:dyDescent="0.25">
      <c r="A175" s="1">
        <v>45366</v>
      </c>
      <c r="B175" t="s">
        <v>7</v>
      </c>
      <c r="C175" t="s">
        <v>16</v>
      </c>
      <c r="D175" t="s">
        <v>17</v>
      </c>
      <c r="E175">
        <v>3</v>
      </c>
      <c r="F175">
        <v>228.73</v>
      </c>
      <c r="G175">
        <v>686.19</v>
      </c>
    </row>
    <row r="176" spans="1:7" x14ac:dyDescent="0.25">
      <c r="A176" s="1">
        <v>45380</v>
      </c>
      <c r="B176" t="s">
        <v>15</v>
      </c>
      <c r="C176" t="s">
        <v>8</v>
      </c>
      <c r="D176" t="s">
        <v>9</v>
      </c>
      <c r="E176">
        <v>1</v>
      </c>
      <c r="F176">
        <v>350.64</v>
      </c>
      <c r="G176">
        <v>350.64</v>
      </c>
    </row>
    <row r="177" spans="1:7" x14ac:dyDescent="0.25">
      <c r="A177" s="1">
        <v>45353</v>
      </c>
      <c r="B177" t="s">
        <v>7</v>
      </c>
      <c r="C177" t="s">
        <v>18</v>
      </c>
      <c r="D177" t="s">
        <v>14</v>
      </c>
      <c r="E177">
        <v>6</v>
      </c>
      <c r="F177">
        <v>142.24</v>
      </c>
      <c r="G177">
        <v>853.44</v>
      </c>
    </row>
    <row r="178" spans="1:7" x14ac:dyDescent="0.25">
      <c r="A178" s="1">
        <v>45292</v>
      </c>
      <c r="B178" t="s">
        <v>7</v>
      </c>
      <c r="C178" t="s">
        <v>8</v>
      </c>
      <c r="D178" t="s">
        <v>19</v>
      </c>
      <c r="E178">
        <v>18</v>
      </c>
      <c r="F178">
        <v>181.92</v>
      </c>
      <c r="G178">
        <v>3274.56</v>
      </c>
    </row>
    <row r="179" spans="1:7" x14ac:dyDescent="0.25">
      <c r="A179" s="1">
        <v>45318</v>
      </c>
      <c r="B179" t="s">
        <v>13</v>
      </c>
      <c r="C179" t="s">
        <v>18</v>
      </c>
      <c r="D179" t="s">
        <v>14</v>
      </c>
      <c r="E179">
        <v>10</v>
      </c>
      <c r="F179">
        <v>453.35</v>
      </c>
      <c r="G179">
        <v>4533.5</v>
      </c>
    </row>
    <row r="180" spans="1:7" x14ac:dyDescent="0.25">
      <c r="A180" s="1">
        <v>45353</v>
      </c>
      <c r="B180" t="s">
        <v>20</v>
      </c>
      <c r="C180" t="s">
        <v>11</v>
      </c>
      <c r="D180" t="s">
        <v>14</v>
      </c>
      <c r="E180">
        <v>5</v>
      </c>
      <c r="F180">
        <v>55.85</v>
      </c>
      <c r="G180">
        <v>279.25</v>
      </c>
    </row>
    <row r="181" spans="1:7" x14ac:dyDescent="0.25">
      <c r="A181" s="1">
        <v>45368</v>
      </c>
      <c r="B181" t="s">
        <v>7</v>
      </c>
      <c r="C181" t="s">
        <v>18</v>
      </c>
      <c r="D181" t="s">
        <v>9</v>
      </c>
      <c r="E181">
        <v>10</v>
      </c>
      <c r="F181">
        <v>88.48</v>
      </c>
      <c r="G181">
        <v>884.8</v>
      </c>
    </row>
    <row r="182" spans="1:7" x14ac:dyDescent="0.25">
      <c r="A182" s="1">
        <v>45294</v>
      </c>
      <c r="B182" t="s">
        <v>10</v>
      </c>
      <c r="C182" t="s">
        <v>11</v>
      </c>
      <c r="D182" t="s">
        <v>19</v>
      </c>
      <c r="E182">
        <v>12</v>
      </c>
      <c r="F182">
        <v>143.55000000000001</v>
      </c>
      <c r="G182">
        <v>1722.6</v>
      </c>
    </row>
    <row r="183" spans="1:7" x14ac:dyDescent="0.25">
      <c r="A183" s="1">
        <v>45361</v>
      </c>
      <c r="B183" t="s">
        <v>20</v>
      </c>
      <c r="C183" t="s">
        <v>18</v>
      </c>
      <c r="D183" t="s">
        <v>19</v>
      </c>
      <c r="E183">
        <v>2</v>
      </c>
      <c r="F183">
        <v>61.94</v>
      </c>
      <c r="G183">
        <v>123.88</v>
      </c>
    </row>
    <row r="184" spans="1:7" x14ac:dyDescent="0.25">
      <c r="A184" s="1">
        <v>45363</v>
      </c>
      <c r="B184" t="s">
        <v>15</v>
      </c>
      <c r="C184" t="s">
        <v>11</v>
      </c>
      <c r="D184" t="s">
        <v>12</v>
      </c>
      <c r="E184">
        <v>13</v>
      </c>
      <c r="F184">
        <v>131.65</v>
      </c>
      <c r="G184">
        <v>1711.45</v>
      </c>
    </row>
    <row r="185" spans="1:7" x14ac:dyDescent="0.25">
      <c r="A185" s="1">
        <v>45318</v>
      </c>
      <c r="B185" t="s">
        <v>13</v>
      </c>
      <c r="C185" t="s">
        <v>18</v>
      </c>
      <c r="D185" t="s">
        <v>14</v>
      </c>
      <c r="E185">
        <v>8</v>
      </c>
      <c r="F185">
        <v>312.37</v>
      </c>
      <c r="G185">
        <v>2498.96</v>
      </c>
    </row>
    <row r="186" spans="1:7" x14ac:dyDescent="0.25">
      <c r="A186" s="1">
        <v>45300</v>
      </c>
      <c r="B186" t="s">
        <v>15</v>
      </c>
      <c r="C186" t="s">
        <v>16</v>
      </c>
      <c r="D186" t="s">
        <v>14</v>
      </c>
      <c r="E186">
        <v>2</v>
      </c>
      <c r="F186">
        <v>239.64</v>
      </c>
      <c r="G186">
        <v>479.28</v>
      </c>
    </row>
    <row r="187" spans="1:7" x14ac:dyDescent="0.25">
      <c r="A187" s="1">
        <v>45353</v>
      </c>
      <c r="B187" t="s">
        <v>20</v>
      </c>
      <c r="C187" t="s">
        <v>18</v>
      </c>
      <c r="D187" t="s">
        <v>17</v>
      </c>
      <c r="E187">
        <v>1</v>
      </c>
      <c r="F187">
        <v>451.7</v>
      </c>
      <c r="G187">
        <v>451.7</v>
      </c>
    </row>
    <row r="188" spans="1:7" x14ac:dyDescent="0.25">
      <c r="A188" s="1">
        <v>45328</v>
      </c>
      <c r="B188" t="s">
        <v>20</v>
      </c>
      <c r="C188" t="s">
        <v>18</v>
      </c>
      <c r="D188" t="s">
        <v>12</v>
      </c>
      <c r="E188">
        <v>5</v>
      </c>
      <c r="F188">
        <v>417.85</v>
      </c>
      <c r="G188">
        <v>2089.25</v>
      </c>
    </row>
    <row r="189" spans="1:7" x14ac:dyDescent="0.25">
      <c r="A189" s="1">
        <v>45342</v>
      </c>
      <c r="B189" t="s">
        <v>20</v>
      </c>
      <c r="C189" t="s">
        <v>16</v>
      </c>
      <c r="D189" t="s">
        <v>17</v>
      </c>
      <c r="E189">
        <v>9</v>
      </c>
      <c r="F189">
        <v>203.82</v>
      </c>
      <c r="G189">
        <v>1834.38</v>
      </c>
    </row>
    <row r="190" spans="1:7" x14ac:dyDescent="0.25">
      <c r="A190" s="1">
        <v>45335</v>
      </c>
      <c r="B190" t="s">
        <v>15</v>
      </c>
      <c r="C190" t="s">
        <v>8</v>
      </c>
      <c r="D190" t="s">
        <v>17</v>
      </c>
      <c r="E190">
        <v>17</v>
      </c>
      <c r="F190">
        <v>166.74</v>
      </c>
      <c r="G190">
        <v>2834.58</v>
      </c>
    </row>
    <row r="191" spans="1:7" x14ac:dyDescent="0.25">
      <c r="A191" s="1">
        <v>45315</v>
      </c>
      <c r="B191" t="s">
        <v>20</v>
      </c>
      <c r="C191" t="s">
        <v>8</v>
      </c>
      <c r="D191" t="s">
        <v>17</v>
      </c>
      <c r="E191">
        <v>9</v>
      </c>
      <c r="F191">
        <v>220.86</v>
      </c>
      <c r="G191">
        <v>1987.74</v>
      </c>
    </row>
    <row r="192" spans="1:7" x14ac:dyDescent="0.25">
      <c r="A192" s="1">
        <v>45370</v>
      </c>
      <c r="B192" t="s">
        <v>15</v>
      </c>
      <c r="C192" t="s">
        <v>18</v>
      </c>
      <c r="D192" t="s">
        <v>9</v>
      </c>
      <c r="E192">
        <v>11</v>
      </c>
      <c r="F192">
        <v>315.63</v>
      </c>
      <c r="G192">
        <v>3471.93</v>
      </c>
    </row>
    <row r="193" spans="1:7" x14ac:dyDescent="0.25">
      <c r="A193" s="1">
        <v>45350</v>
      </c>
      <c r="B193" t="s">
        <v>20</v>
      </c>
      <c r="C193" t="s">
        <v>16</v>
      </c>
      <c r="D193" t="s">
        <v>9</v>
      </c>
      <c r="E193">
        <v>15</v>
      </c>
      <c r="F193">
        <v>170.63</v>
      </c>
      <c r="G193">
        <v>2559.4499999999998</v>
      </c>
    </row>
    <row r="194" spans="1:7" x14ac:dyDescent="0.25">
      <c r="A194" s="1">
        <v>45323</v>
      </c>
      <c r="B194" t="s">
        <v>10</v>
      </c>
      <c r="C194" t="s">
        <v>18</v>
      </c>
      <c r="D194" t="s">
        <v>17</v>
      </c>
      <c r="E194">
        <v>6</v>
      </c>
      <c r="F194">
        <v>330.87</v>
      </c>
      <c r="G194">
        <v>1985.22</v>
      </c>
    </row>
    <row r="195" spans="1:7" x14ac:dyDescent="0.25">
      <c r="A195" s="1">
        <v>45379</v>
      </c>
      <c r="B195" t="s">
        <v>20</v>
      </c>
      <c r="C195" t="s">
        <v>11</v>
      </c>
      <c r="D195" t="s">
        <v>12</v>
      </c>
      <c r="E195">
        <v>3</v>
      </c>
      <c r="F195">
        <v>234.24</v>
      </c>
      <c r="G195">
        <v>702.72</v>
      </c>
    </row>
    <row r="196" spans="1:7" x14ac:dyDescent="0.25">
      <c r="A196" s="1">
        <v>45343</v>
      </c>
      <c r="B196" t="s">
        <v>15</v>
      </c>
      <c r="C196" t="s">
        <v>11</v>
      </c>
      <c r="D196" t="s">
        <v>14</v>
      </c>
      <c r="E196">
        <v>17</v>
      </c>
      <c r="F196">
        <v>298.42</v>
      </c>
      <c r="G196">
        <v>5073.1400000000003</v>
      </c>
    </row>
    <row r="197" spans="1:7" x14ac:dyDescent="0.25">
      <c r="A197" s="1">
        <v>45353</v>
      </c>
      <c r="B197" t="s">
        <v>7</v>
      </c>
      <c r="C197" t="s">
        <v>18</v>
      </c>
      <c r="D197" t="s">
        <v>12</v>
      </c>
      <c r="E197">
        <v>5</v>
      </c>
      <c r="F197">
        <v>246.26</v>
      </c>
      <c r="G197">
        <v>1231.3</v>
      </c>
    </row>
    <row r="198" spans="1:7" x14ac:dyDescent="0.25">
      <c r="A198" s="1">
        <v>45349</v>
      </c>
      <c r="B198" t="s">
        <v>20</v>
      </c>
      <c r="C198" t="s">
        <v>8</v>
      </c>
      <c r="D198" t="s">
        <v>19</v>
      </c>
      <c r="E198">
        <v>12</v>
      </c>
      <c r="F198">
        <v>182.51</v>
      </c>
      <c r="G198">
        <v>2190.12</v>
      </c>
    </row>
    <row r="199" spans="1:7" x14ac:dyDescent="0.25">
      <c r="A199" s="1">
        <v>45343</v>
      </c>
      <c r="B199" t="s">
        <v>7</v>
      </c>
      <c r="C199" t="s">
        <v>8</v>
      </c>
      <c r="D199" t="s">
        <v>9</v>
      </c>
      <c r="E199">
        <v>18</v>
      </c>
      <c r="F199">
        <v>476.8</v>
      </c>
      <c r="G199">
        <v>8582.4</v>
      </c>
    </row>
    <row r="200" spans="1:7" x14ac:dyDescent="0.25">
      <c r="A200" s="1">
        <v>45303</v>
      </c>
      <c r="B200" t="s">
        <v>10</v>
      </c>
      <c r="C200" t="s">
        <v>18</v>
      </c>
      <c r="D200" t="s">
        <v>14</v>
      </c>
      <c r="E200">
        <v>14</v>
      </c>
      <c r="F200">
        <v>393.62</v>
      </c>
      <c r="G200">
        <v>5510.68</v>
      </c>
    </row>
    <row r="201" spans="1:7" x14ac:dyDescent="0.25">
      <c r="A201" s="1">
        <v>45330</v>
      </c>
      <c r="B201" t="s">
        <v>13</v>
      </c>
      <c r="C201" t="s">
        <v>18</v>
      </c>
      <c r="D201" t="s">
        <v>14</v>
      </c>
      <c r="E201">
        <v>11</v>
      </c>
      <c r="F201">
        <v>113.05</v>
      </c>
      <c r="G201">
        <v>1243.55</v>
      </c>
    </row>
  </sheetData>
  <autoFilter ref="A1:G201" xr:uid="{314A623D-ACAB-4AB3-96A6-2264DA055F4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1</vt:lpstr>
      <vt:lpstr>2</vt:lpstr>
      <vt:lpstr>3</vt:lpstr>
      <vt:lpstr>4</vt:lpstr>
      <vt:lpstr>5</vt:lpstr>
      <vt:lpstr>6</vt:lpstr>
      <vt:lpstr>7</vt:lpstr>
      <vt:lpstr>8</vt:lpstr>
      <vt:lpstr>9</vt:lpstr>
      <vt:lpstr>10</vt:lpstr>
      <vt:lpstr>PivotTable_Practice_Data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Qudret Hebibli</cp:lastModifiedBy>
  <dcterms:created xsi:type="dcterms:W3CDTF">2026-06-15T08:34:20Z</dcterms:created>
  <dcterms:modified xsi:type="dcterms:W3CDTF">2026-06-15T19:07:10Z</dcterms:modified>
</cp:coreProperties>
</file>